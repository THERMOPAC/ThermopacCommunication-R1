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age Detail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<sst xmlns="http://schemas.openxmlformats.org/spreadsheetml/2006/main" count="331" uniqueCount="196">
  <si>
    <t>THERMOPAC — UOR-PLC Package Price Review</t>
  </si>
  <si>
    <t>Generated: 9/5/2026, 8:15:20 pm IST   |   All prices in USD   |   Extended Total = Qty × Unit Price</t>
  </si>
  <si>
    <t>Parent Product Code</t>
  </si>
  <si>
    <t>Parent Description</t>
  </si>
  <si>
    <t>Parent Unit Price (USD)</t>
  </si>
  <si>
    <t>Child Product Code</t>
  </si>
  <si>
    <t>Child Description</t>
  </si>
  <si>
    <t>Qty</t>
  </si>
  <si>
    <t>Child Unit Price (USD)</t>
  </si>
  <si>
    <t>Child Extended Total (USD)</t>
  </si>
  <si>
    <t>Total Child Sum (USD)</t>
  </si>
  <si>
    <t>Difference (USD)</t>
  </si>
  <si>
    <t>Status</t>
  </si>
  <si>
    <t>UOR-PLC-E10-2000 LPH</t>
  </si>
  <si>
    <t>Used Engine Oil Refinery Fully Automated PLC SCADA Control Expandable Throughput From 1000 LPH to  2000 LPH</t>
  </si>
  <si>
    <t>UOR-DDS-TPH-2000 LPH</t>
  </si>
  <si>
    <t>Engine Oil Refinery Dehydration &amp; Degasoil Skid Through Put 2000 LPH</t>
  </si>
  <si>
    <t>UOR-WFE-TPH-1000 LPH</t>
  </si>
  <si>
    <t>Engine Oil Refinery High Vacuum Distillation Skid Through Put 1000 LPH</t>
  </si>
  <si>
    <t>UOR-WNS-TPH-2000 LPH</t>
  </si>
  <si>
    <t>Used Engine Oil Refinery Water-Naphtha Separator Skid Through Put 2000 LPH</t>
  </si>
  <si>
    <t>UOR-PCS-TPH-2000 LPH</t>
  </si>
  <si>
    <t>Used Engine Oil Refinery Pollution Control Skid Through Put 2000 LPH</t>
  </si>
  <si>
    <t>UOR-PCP-FOR-1000 LPH</t>
  </si>
  <si>
    <t>Used Engine Oil Refinery PLC Control Panel For UOR 1000 LPH</t>
  </si>
  <si>
    <t>UOR-TOP-FOR-2000 LPH</t>
  </si>
  <si>
    <t>Used Engine Oil Refinery Thermal Oxidizer Package For UOR 2000 LPH</t>
  </si>
  <si>
    <t>UOR-PLW-FOR-1000 LPH</t>
  </si>
  <si>
    <t>Used Engine Oil Refinery Platform Ladder Walkway Assembly For UOR 1000 LPH</t>
  </si>
  <si>
    <t>UOR-LSA-FOR-1000 LPH</t>
  </si>
  <si>
    <t>Used Engine Oil Refinery Lifting Structure Assembly For UOR 1000 LPH</t>
  </si>
  <si>
    <t>UOR-TFH-340-1000000 KCAL/H</t>
  </si>
  <si>
    <t>Used Engine Oil Refinery High Temp Thermal Heater 340°C 1000000 KCAL/H</t>
  </si>
  <si>
    <t>UOR-RIR-IRR-1000 TO 4500 LPH</t>
  </si>
  <si>
    <t>Engine Oil Refinery Residue Intermediate Receiver Residue Receiver 1000 TO 4500 LPH</t>
  </si>
  <si>
    <t>UOR-RSO-YOU-1000 LPH</t>
  </si>
  <si>
    <t>Used Engine Oil Refinery Recommended sparesfor one  Year Operation UOR 1000 LPH</t>
  </si>
  <si>
    <t>UOR-DOC-AFU-1000 LPH</t>
  </si>
  <si>
    <t>Used Engine Oil Refinery Documentation &amp; Engineering  Assistant For UOR 1000 LPH</t>
  </si>
  <si>
    <t>UOR-PLC-E15-3000 LPH</t>
  </si>
  <si>
    <t>Used Engine Oil Refinery Fully Automated PLC SCADA Control Expandable Throughput From 1500 LPH to 3000 LPH</t>
  </si>
  <si>
    <t>UOR-DDS-TPH-3000 LPH</t>
  </si>
  <si>
    <t>Engine Oil Refinery Dehydration &amp; Degasoil Skid Through Put 3000 LPH</t>
  </si>
  <si>
    <t>UOR-WFE-TPH-1500 LPH</t>
  </si>
  <si>
    <t>Engine Oil Refinery High Vacuum Distillation Skid Through Put 1500 LPH</t>
  </si>
  <si>
    <t>UOR-WNS-TPH-3000 LPH</t>
  </si>
  <si>
    <t>Used Engine Oil Refinery Water-Naphtha Separator Skid Through Put 3000 LPH</t>
  </si>
  <si>
    <t>UOR-PCS-TPH-3000 LPH</t>
  </si>
  <si>
    <t>Used Engine Oil Refinery Pollution Control Skid Through Put 3000 LPH</t>
  </si>
  <si>
    <t>UOR-PCP-FOR-1500 LPH</t>
  </si>
  <si>
    <t>Used Engine Oil Refinery PLC Control Panel For UOR 1500 LPH</t>
  </si>
  <si>
    <t>UOR-TOP-FOR-3000 LPH</t>
  </si>
  <si>
    <t>Used Engine Oil Refinery Thermal Oxidizer Package For UOR 3000 LPH</t>
  </si>
  <si>
    <t>UOR-PLW-FOR-1500 LPH</t>
  </si>
  <si>
    <t>Used Engine Oil Refinery Platform Ladder Walkway Assembly For UOR 1500 LPH</t>
  </si>
  <si>
    <t>UOR-LSA-FOR-1500 LPH</t>
  </si>
  <si>
    <t>Used Engine Oil Refinery Lifting Structure Assembly For UOR 1500 LPH</t>
  </si>
  <si>
    <t>UOR-RSO-YOU-1500 LPH</t>
  </si>
  <si>
    <t>Used Engine Oil Refinery Recommended sparesfor one  Year Operation UOR 1500 LPH</t>
  </si>
  <si>
    <t>UOR-DOC-AFU-1500 LPH</t>
  </si>
  <si>
    <t>Engine Oil Refinery Documentation &amp; Engineering  Assistant For UOR 1500 LPH</t>
  </si>
  <si>
    <t>UOR-PLC-E20-4000 LPH</t>
  </si>
  <si>
    <t>Used Engine Oil Refinery Fully Automated PLC SCADA Control Expandable Throughput From 2000 LPH to  4000 LPH</t>
  </si>
  <si>
    <t>UOR-DDS-TPH-4000 LPH</t>
  </si>
  <si>
    <t>Engine Oil Refinery Dehydration &amp; Degasoil Skid Through Put 4000 LPH</t>
  </si>
  <si>
    <t>UOR-WFE-TPH-2000 LPH</t>
  </si>
  <si>
    <t>Engine Oil Refinery High Vacuum Distillation Skid Through Put 2000 LPH</t>
  </si>
  <si>
    <t>UOR-WNS-TPH-4000 LPH</t>
  </si>
  <si>
    <t>Engine Oil Refinery Water-Naphtha Separator Skid Through Put 4000 LPH</t>
  </si>
  <si>
    <t>UOR-PCS-TPH-4000 LPH</t>
  </si>
  <si>
    <t>Engine Oil Refinery Pollution Control Skid Through Put 4000 LPH</t>
  </si>
  <si>
    <t>UOR-PCP-FOR-2000 LPH</t>
  </si>
  <si>
    <t>Used Engine Oil Refinery PLC Control Panel For UOR 2000 LPH</t>
  </si>
  <si>
    <t>UOR-TOP-FOR-4000 LPH</t>
  </si>
  <si>
    <t>Engine Oil Refinery Thermal Oxidizer Package For UOR 4000 LPH</t>
  </si>
  <si>
    <t>UOR-PLW-FOR-2000 LPH</t>
  </si>
  <si>
    <t>Engine Oil Refinery Platform Ladder Walkway Assembly For UOR 2000 LPH</t>
  </si>
  <si>
    <t>UOR-LSA-FOR-2000 LPH</t>
  </si>
  <si>
    <t>Used Engine Oil Refinery Lifting Structure Assembly For UOR 2000 LPH</t>
  </si>
  <si>
    <t>UOR-RSO-YOU-2000 LPH</t>
  </si>
  <si>
    <t>Used Engine Oil Refinery Recommended sparesfor one  Year Operation UOR 2000 LPH</t>
  </si>
  <si>
    <t>UOR-DOC-AFU-2000 LPH</t>
  </si>
  <si>
    <t>Engine Oil Refinery Documentation &amp; Engineering  Assistant For UOR 2000 LPH</t>
  </si>
  <si>
    <t>UOR-PLC-E30-4500 LPH</t>
  </si>
  <si>
    <t>Used Engine Oil Refinery Fully Automated PLC SCADA Control Expandable Throughput From 3000 LPH to  4500 LPH</t>
  </si>
  <si>
    <t>UOR-DDS-TPH-4500 LPH</t>
  </si>
  <si>
    <t>Engine Oil Refinery Dehydration &amp; Degasoil Skid Through Put 4500 LPH</t>
  </si>
  <si>
    <t>UOR-WNS-TPH-4500 LPH</t>
  </si>
  <si>
    <t>Used Engine Oil Refinery Water-Naphtha Separator Skid Through Put 4500 LPH</t>
  </si>
  <si>
    <t>UOR-PCS-TPH-4500 LPH</t>
  </si>
  <si>
    <t>Used Engine Oil Refinery Pollution Control Skid Through Put 4500 LPH</t>
  </si>
  <si>
    <t>UOR-PCP-FOR-3000 LPH</t>
  </si>
  <si>
    <t>Used Engine Oil Refinery PLC Control Panel For UOR 3000 LPH</t>
  </si>
  <si>
    <t>UOR-TOP-FOR-4500 LPH</t>
  </si>
  <si>
    <t>Used Engine Oil Refinery Thermal Oxidizer Package For UOR 4500 LPH</t>
  </si>
  <si>
    <t>UOR-PLW-FOR-3000 LPH</t>
  </si>
  <si>
    <t>Used Engine Oil Refinery Platform Ladder Walkway Assembly For UOR 3000 LPH</t>
  </si>
  <si>
    <t>UOR-LSA-FOR-3000 LPH</t>
  </si>
  <si>
    <t>Used Engine Oil Refinery Lifting Structure Assembly For UOR 3000 LPH</t>
  </si>
  <si>
    <t>UOR-TFH-340-1500000 KCAL/H</t>
  </si>
  <si>
    <t>Used Engine Oil Refinery High Temp Thermal Heater 340°C 1500000 KCAL/H</t>
  </si>
  <si>
    <t>UOR-RSO-YOU-3000 LPH</t>
  </si>
  <si>
    <t>Used Engine Oil Refinery Recommended sparesfor one  Year Operation UOR 3000 LPH</t>
  </si>
  <si>
    <t>UOR-DOC-AFU-3000 LPH</t>
  </si>
  <si>
    <t>Engine Oil Refinery Documentation &amp; Engineering  Assistant For UOR 3000 LPH</t>
  </si>
  <si>
    <t>UOR-PLC-LPH-1000 LPH</t>
  </si>
  <si>
    <t>Used Engine Oil Refinery Fully Automated PLC SCADA Control Through Put 1000 LPH</t>
  </si>
  <si>
    <t>UOR-DDS-TPH-1000 LPH</t>
  </si>
  <si>
    <t>Engine Oil Refinery Dehydration &amp; Degasoil Skid Through Put 1000 LPH</t>
  </si>
  <si>
    <t>UOR-WNS-TPH-1000 LPH</t>
  </si>
  <si>
    <t>Used Engine Oil Refinery Water-Naphtha Separator Skid Through Put 1000 LPH</t>
  </si>
  <si>
    <t>UOR-PCS-TPH-1000 LPH</t>
  </si>
  <si>
    <t>Used Engine Oil Refinery Pollution Control Skid Through Put 1000 LPH</t>
  </si>
  <si>
    <t>UOR-TOP-FOR-1000 LPH</t>
  </si>
  <si>
    <t>Used Engine Oil Refinery Thermal Oxidizer Package For UOR 1000 LPH</t>
  </si>
  <si>
    <t>UOR-TFH-340-600000 KCAL/H</t>
  </si>
  <si>
    <t>Used Engine Oil Refinery High Temp Thermal Heater 340°C 600000 KCAL/H</t>
  </si>
  <si>
    <t>UOR-PLC-LPH-10000 LPH</t>
  </si>
  <si>
    <t>Used Engine Oil Refinery Fully Automated PLC SCADA Control Through Put 10000 LPH</t>
  </si>
  <si>
    <t>UOR-DDS-TPH-10000 LPH</t>
  </si>
  <si>
    <t>Engine Oil Refinery Dehydration &amp; Degasoil Skid Through Put 10000 LPH</t>
  </si>
  <si>
    <t>UOR-WNS-TPH-10000 LPH</t>
  </si>
  <si>
    <t>Used Engine Oil Refinery Water-Naphtha Separator Skid Through Put 10000 LPH</t>
  </si>
  <si>
    <t>UOR-PCS-TPH-10000 LPH</t>
  </si>
  <si>
    <t>Used Engine Oil Refinery Pollution Control Skid Through Put 10000 LPH</t>
  </si>
  <si>
    <t>UOR-PCP-FOR-10000 LPH</t>
  </si>
  <si>
    <t>Used Engine Oil Refinery PLC Control Panel For UOR 10000 LPH</t>
  </si>
  <si>
    <t>UOR-TOP-FOR-10000 LPH</t>
  </si>
  <si>
    <t>Used Engine Oil Refinery Thermal Oxidizer Package For UOR 10000 LPH</t>
  </si>
  <si>
    <t>UOR-PLW-FOR-10000 LPH</t>
  </si>
  <si>
    <t>Used Engine Oil Refinery Platform Ladder Walkway Assembly For UOR 10000 LPH</t>
  </si>
  <si>
    <t>UOR-LSA-FOR-10000 LPH</t>
  </si>
  <si>
    <t>Used Engine Oil Refinery Lifting Structure Assembly For UOR 10000 LPH</t>
  </si>
  <si>
    <t>UOR-TFH-340-2000000 KCAL/H</t>
  </si>
  <si>
    <t>Used Engine Oil Refinery High Temp Thermal Heater 340°C 2000000 KCAL/H</t>
  </si>
  <si>
    <t>UOR-RIR-IRR-6000 TO 10000 LPH</t>
  </si>
  <si>
    <t>Engine Oil Refinery Residue Intermediate Receiver Residue Receiver 6000 TO 10000 LPH</t>
  </si>
  <si>
    <t>UOR-RSO-YOU-10000 LPH</t>
  </si>
  <si>
    <t>Used Engine Oil Refinery Recommended sparesfor one  Year Operation UOR 10000 LPH</t>
  </si>
  <si>
    <t>UOR-DOC-AFU-10000 LPH</t>
  </si>
  <si>
    <t>Engine Oil Refinery Documentation &amp; Engineering  Assistant For UOR 10000 LPH</t>
  </si>
  <si>
    <t>UOR-PLC-LPH-1500 LPH</t>
  </si>
  <si>
    <t>Engine Oil Refinery Fully Automated PLC SCADA Control Through Put 1500 LPH</t>
  </si>
  <si>
    <t>UOR-DDS-TPH-1500 LPH</t>
  </si>
  <si>
    <t>Engine Oil Refinery Dehydration &amp; Degasoil Skid Through Put 1500 LPH</t>
  </si>
  <si>
    <t>UOR-TOP-FOR-1500 LPH</t>
  </si>
  <si>
    <t>Used Engine Oil Refinery Thermal Oxidizer Package For UOR 1500 LPH</t>
  </si>
  <si>
    <t>UOR-WNS-NWS-1000 TO 4500 LPH</t>
  </si>
  <si>
    <t>Engine Oil Refinery Water-Naphtha Separator Skid Naphtha Water Separator 1000 TO 4500 LPH</t>
  </si>
  <si>
    <t>UOR-PCS-CSS-1000 TO 4500 LPH</t>
  </si>
  <si>
    <t>Engine Oil Refinery Pollution Control Skid Caustic Scrubber System 1000 TO 4500 LPH</t>
  </si>
  <si>
    <t>UOR-PLC-LPH-2000 LPH</t>
  </si>
  <si>
    <t>Used Engine Oil Refinery Fully Automated PLC SCADA Control Through Put 2000 LPH</t>
  </si>
  <si>
    <t>UOR-PLC-LPH-3000 LPH</t>
  </si>
  <si>
    <t>Used Engine Oil Refinery Fully Automated PLC SCADA Control Through Put 3000 LPH</t>
  </si>
  <si>
    <t>UOR-PLC-LPH-4500 LPH</t>
  </si>
  <si>
    <t>Used Engine Oil Refinery Fully Automated PLC SCADA Control Through Put 4500 LPH</t>
  </si>
  <si>
    <t>UOR-DDS-TPH-6000 LPH</t>
  </si>
  <si>
    <t>Engine Oil Refinery Dehydration &amp; Degasoil Skid Through Put 6000 LPH</t>
  </si>
  <si>
    <t>UOR-WNS-TPH-6000 LPH</t>
  </si>
  <si>
    <t>Engine Oil Refinery Water-Naphtha Separator Skid Through Put 6000 LPH</t>
  </si>
  <si>
    <t>UOR-PCS-TPH-6000 LPH</t>
  </si>
  <si>
    <t>Engine Oil Refinery Pollution Control Skid Through Put 6000 LPH</t>
  </si>
  <si>
    <t>UOR-PCP-FOR-4500 LPH</t>
  </si>
  <si>
    <t>Used Engine Oil Refinery PLC Control Panel For UOR 4500 LPH</t>
  </si>
  <si>
    <t>UOR-TOP-FOR-6000 LPH</t>
  </si>
  <si>
    <t>Engine Oil Refinery Thermal Oxidizer Package For UOR 6000 LPH</t>
  </si>
  <si>
    <t>UOR-PLW-FOR-4500 LPH</t>
  </si>
  <si>
    <t>Used Engine Oil Refinery Platform Ladder Walkway Assembly For UOR 4500 LPH</t>
  </si>
  <si>
    <t>UOR-LSA-FOR-4500 LPH</t>
  </si>
  <si>
    <t>Used Engine Oil Refinery Lifting Structure Assembly For UOR 4500 LPH</t>
  </si>
  <si>
    <t>UOR-RSO-YOU-4500 LPH</t>
  </si>
  <si>
    <t>Used Engine Oil Refinery Recommended sparesfor one  Year Operation UOR 4500 LPH</t>
  </si>
  <si>
    <t>UOR-DOC-AFU-4500 LPH</t>
  </si>
  <si>
    <t>Engine Oil Refinery Documentation &amp; Engineering  Assistant For UOR 4500 LPH</t>
  </si>
  <si>
    <t>UOR-PLC-LPH-7500 LPH</t>
  </si>
  <si>
    <t>Used Engine Oil Refinery Fully Automated PLC SCADA Control Through Put 7500 LPH</t>
  </si>
  <si>
    <t>UOR-DDS-TPH-7500 LPH</t>
  </si>
  <si>
    <t>Engine Oil Refinery Dehydration &amp; Degasoil Skid Through Put 7500 LPH</t>
  </si>
  <si>
    <t>UOR-PCP-FOR-7500 LPH</t>
  </si>
  <si>
    <t>Used Engine Oil Refinery PLC Control Panel For UOR 7500 LPH</t>
  </si>
  <si>
    <t>UOR-PLW-FOR-7500 LPH</t>
  </si>
  <si>
    <t>Used Engine Oil Refinery Platform Ladder Walkway Assembly For UOR 7500 LPH</t>
  </si>
  <si>
    <t>UOR-LSA-FOR-7500 LPH</t>
  </si>
  <si>
    <t>Used Engine Oil Refinery Lifting Structure Assembly For UOR 7500 LPH</t>
  </si>
  <si>
    <t>UOR-RSO-YOU-7500 LPH</t>
  </si>
  <si>
    <t>Used Engine Oil Refinery Recommended sparesfor one  Year Operation UOR 7500 LPH</t>
  </si>
  <si>
    <t>UOR-DOC-AFU-7500 LPH</t>
  </si>
  <si>
    <t>Engine Oil Refinery Documentation &amp; Engineering  Assistant For UOR 7500 LPH</t>
  </si>
  <si>
    <t>THERMOPAC — UOR-PLC Package Price Review — Summary</t>
  </si>
  <si>
    <t>Generated: 9/5/2026, 8:15:20 pm IST   |   All prices in USD</t>
  </si>
  <si>
    <t>Child Items</t>
  </si>
  <si>
    <t>MISMATCH</t>
  </si>
  <si>
    <t>MATCH</t>
  </si>
  <si>
    <t>TOTAL — 11 packages</t>
  </si>
  <si>
    <t>3 match / 8 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</si>
</sst>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USD &quot;#,##0.00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  <name val="Calibri"/>
    </font>
    <font>
      <i/>
      <color rgb="FF595959"/>
      <sz val="9"/>
      <name val="Calibri"/>
    </font>
    <font>
      <b/>
      <color rgb="FFFFFFFF"/>
      <sz val="10"/>
      <name val="Calibri"/>
    </font>
    <font>
      <b/>
      <sz val="10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CE4D6"/>
      </patternFill>
    </fill>
    <fill>
      <patternFill patternType="solid">
        <fgColor rgb="FFEEEEEE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right" vertical="top"/>
    </xf>
    <xf numFmtId="0" fontId="0" fillId="0" borderId="1" xfId="0" applyBorder="1"/>
    <xf numFmtId="164" fontId="4" fillId="4" borderId="1" xfId="0" applyNumberFormat="1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center" vertical="top"/>
    </xf>
    <xf numFmtId="0" fontId="0" fillId="5" borderId="1" xfId="0" applyFill="1" applyBorder="1"/>
    <xf numFmtId="164" fontId="4" fillId="6" borderId="1" xfId="0" applyNumberFormat="1" applyFont="1" applyFill="1" applyBorder="1" applyAlignment="1">
      <alignment horizontal="right" vertical="top"/>
    </xf>
    <xf numFmtId="0" fontId="4" fillId="6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22" customWidth="1"/>
    <col min="4" max="4" width="26" customWidth="1"/>
    <col min="5" max="5" width="50" customWidth="1"/>
    <col min="7" max="9" width="22" customWidth="1"/>
    <col min="10" max="10" width="20" customWidth="1"/>
    <col min="11" max="11" width="1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2" customHeight="1" spans="1:1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ht="18" customHeight="1" spans="1:11" x14ac:dyDescent="0.25">
      <c r="A4" s="4" t="s">
        <v>13</v>
      </c>
      <c r="B4" s="5" t="s">
        <v>14</v>
      </c>
      <c r="C4" s="6">
        <v>1127500</v>
      </c>
      <c r="D4" s="7" t="s">
        <v>15</v>
      </c>
      <c r="E4" s="8" t="s">
        <v>16</v>
      </c>
      <c r="F4" s="9">
        <v>1</v>
      </c>
      <c r="G4" s="10">
        <v>433000</v>
      </c>
      <c r="H4" s="10">
        <f>F4*G4</f>
      </c>
      <c r="I4" s="11"/>
      <c r="J4" s="11"/>
      <c r="K4" s="11"/>
    </row>
    <row r="5" ht="18" customHeight="1" spans="1:11" x14ac:dyDescent="0.25">
      <c r="A5" s="4"/>
      <c r="B5" s="5"/>
      <c r="C5" s="6"/>
      <c r="D5" s="7" t="s">
        <v>17</v>
      </c>
      <c r="E5" s="8" t="s">
        <v>18</v>
      </c>
      <c r="F5" s="9">
        <v>1</v>
      </c>
      <c r="G5" s="10">
        <v>301500</v>
      </c>
      <c r="H5" s="10">
        <f>F5*G5</f>
      </c>
      <c r="I5" s="11"/>
      <c r="J5" s="11"/>
      <c r="K5" s="11"/>
    </row>
    <row r="6" ht="18" customHeight="1" spans="1:11" x14ac:dyDescent="0.25">
      <c r="A6" s="4"/>
      <c r="B6" s="5"/>
      <c r="C6" s="6"/>
      <c r="D6" s="7" t="s">
        <v>19</v>
      </c>
      <c r="E6" s="8" t="s">
        <v>20</v>
      </c>
      <c r="F6" s="9">
        <v>1</v>
      </c>
      <c r="G6" s="10">
        <v>47000</v>
      </c>
      <c r="H6" s="10">
        <f>F6*G6</f>
      </c>
      <c r="I6" s="11"/>
      <c r="J6" s="11"/>
      <c r="K6" s="11"/>
    </row>
    <row r="7" ht="18" customHeight="1" spans="1:11" x14ac:dyDescent="0.25">
      <c r="A7" s="4"/>
      <c r="B7" s="5"/>
      <c r="C7" s="6"/>
      <c r="D7" s="7" t="s">
        <v>21</v>
      </c>
      <c r="E7" s="8" t="s">
        <v>22</v>
      </c>
      <c r="F7" s="9">
        <v>1</v>
      </c>
      <c r="G7" s="10">
        <v>41000</v>
      </c>
      <c r="H7" s="10">
        <f>F7*G7</f>
      </c>
      <c r="I7" s="11"/>
      <c r="J7" s="11"/>
      <c r="K7" s="11"/>
    </row>
    <row r="8" ht="18" customHeight="1" spans="1:11" x14ac:dyDescent="0.25">
      <c r="A8" s="4"/>
      <c r="B8" s="5"/>
      <c r="C8" s="6"/>
      <c r="D8" s="7" t="s">
        <v>23</v>
      </c>
      <c r="E8" s="8" t="s">
        <v>24</v>
      </c>
      <c r="F8" s="9">
        <v>1</v>
      </c>
      <c r="G8" s="10">
        <v>25500</v>
      </c>
      <c r="H8" s="10">
        <f>F8*G8</f>
      </c>
      <c r="I8" s="11"/>
      <c r="J8" s="11"/>
      <c r="K8" s="11"/>
    </row>
    <row r="9" ht="18" customHeight="1" spans="1:11" x14ac:dyDescent="0.25">
      <c r="A9" s="4"/>
      <c r="B9" s="5"/>
      <c r="C9" s="6"/>
      <c r="D9" s="7" t="s">
        <v>25</v>
      </c>
      <c r="E9" s="8" t="s">
        <v>26</v>
      </c>
      <c r="F9" s="9">
        <v>1</v>
      </c>
      <c r="G9" s="10">
        <v>65000</v>
      </c>
      <c r="H9" s="10">
        <f>F9*G9</f>
      </c>
      <c r="I9" s="11"/>
      <c r="J9" s="11"/>
      <c r="K9" s="11"/>
    </row>
    <row r="10" ht="18" customHeight="1" spans="1:11" x14ac:dyDescent="0.25">
      <c r="A10" s="4"/>
      <c r="B10" s="5"/>
      <c r="C10" s="6"/>
      <c r="D10" s="7" t="s">
        <v>27</v>
      </c>
      <c r="E10" s="8" t="s">
        <v>28</v>
      </c>
      <c r="F10" s="9">
        <v>1</v>
      </c>
      <c r="G10" s="10">
        <v>35000</v>
      </c>
      <c r="H10" s="10">
        <f>F10*G10</f>
      </c>
      <c r="I10" s="11"/>
      <c r="J10" s="11"/>
      <c r="K10" s="11"/>
    </row>
    <row r="11" ht="18" customHeight="1" spans="1:11" x14ac:dyDescent="0.25">
      <c r="A11" s="4"/>
      <c r="B11" s="5"/>
      <c r="C11" s="6"/>
      <c r="D11" s="7" t="s">
        <v>29</v>
      </c>
      <c r="E11" s="8" t="s">
        <v>30</v>
      </c>
      <c r="F11" s="9">
        <v>1</v>
      </c>
      <c r="G11" s="10">
        <v>15000</v>
      </c>
      <c r="H11" s="10">
        <f>F11*G11</f>
      </c>
      <c r="I11" s="11"/>
      <c r="J11" s="11"/>
      <c r="K11" s="11"/>
    </row>
    <row r="12" ht="18" customHeight="1" spans="1:11" x14ac:dyDescent="0.25">
      <c r="A12" s="4"/>
      <c r="B12" s="5"/>
      <c r="C12" s="6"/>
      <c r="D12" s="7" t="s">
        <v>31</v>
      </c>
      <c r="E12" s="8" t="s">
        <v>32</v>
      </c>
      <c r="F12" s="9">
        <v>1</v>
      </c>
      <c r="G12" s="10">
        <v>65000</v>
      </c>
      <c r="H12" s="10">
        <f>F12*G12</f>
      </c>
      <c r="I12" s="11"/>
      <c r="J12" s="11"/>
      <c r="K12" s="11"/>
    </row>
    <row r="13" ht="18" customHeight="1" spans="1:11" x14ac:dyDescent="0.25">
      <c r="A13" s="4"/>
      <c r="B13" s="5"/>
      <c r="C13" s="6"/>
      <c r="D13" s="7" t="s">
        <v>33</v>
      </c>
      <c r="E13" s="8" t="s">
        <v>34</v>
      </c>
      <c r="F13" s="9">
        <v>1</v>
      </c>
      <c r="G13" s="10">
        <v>17000</v>
      </c>
      <c r="H13" s="10">
        <f>F13*G13</f>
      </c>
      <c r="I13" s="11"/>
      <c r="J13" s="11"/>
      <c r="K13" s="11"/>
    </row>
    <row r="14" ht="18" customHeight="1" spans="1:11" x14ac:dyDescent="0.25">
      <c r="A14" s="4"/>
      <c r="B14" s="5"/>
      <c r="C14" s="6"/>
      <c r="D14" s="7" t="s">
        <v>35</v>
      </c>
      <c r="E14" s="8" t="s">
        <v>36</v>
      </c>
      <c r="F14" s="9">
        <v>1</v>
      </c>
      <c r="G14" s="10">
        <v>30000</v>
      </c>
      <c r="H14" s="10">
        <f>F14*G14</f>
      </c>
      <c r="I14" s="11"/>
      <c r="J14" s="11"/>
      <c r="K14" s="11"/>
    </row>
    <row r="15" ht="18" customHeight="1" spans="1:11" x14ac:dyDescent="0.25">
      <c r="A15" s="4"/>
      <c r="B15" s="5"/>
      <c r="C15" s="6"/>
      <c r="D15" s="7" t="s">
        <v>37</v>
      </c>
      <c r="E15" s="8" t="s">
        <v>38</v>
      </c>
      <c r="F15" s="9">
        <v>1</v>
      </c>
      <c r="G15" s="10">
        <v>20000</v>
      </c>
      <c r="H15" s="10">
        <f>F15*G15</f>
      </c>
      <c r="I15" s="12">
        <f>SUM(H4:H15)</f>
      </c>
      <c r="J15" s="12">
        <f>C4-I15</f>
      </c>
      <c r="K15" s="13">
        <f>IF(ABS(J15)&lt;0.01,"MATCH","MISMATCH")</f>
      </c>
    </row>
    <row r="16" ht="5" customHeight="1" spans="1:1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  <row r="17" ht="18" customHeight="1" spans="1:11" x14ac:dyDescent="0.25">
      <c r="A17" s="4" t="s">
        <v>39</v>
      </c>
      <c r="B17" s="5" t="s">
        <v>40</v>
      </c>
      <c r="C17" s="6">
        <v>1691000</v>
      </c>
      <c r="D17" s="7" t="s">
        <v>41</v>
      </c>
      <c r="E17" s="8" t="s">
        <v>42</v>
      </c>
      <c r="F17" s="9">
        <v>1</v>
      </c>
      <c r="G17" s="10">
        <v>486500</v>
      </c>
      <c r="H17" s="10">
        <f>F17*G17</f>
      </c>
      <c r="I17" s="11"/>
      <c r="J17" s="11"/>
      <c r="K17" s="11"/>
    </row>
    <row r="18" ht="18" customHeight="1" spans="1:11" x14ac:dyDescent="0.25">
      <c r="A18" s="4"/>
      <c r="B18" s="5"/>
      <c r="C18" s="6"/>
      <c r="D18" s="7" t="s">
        <v>43</v>
      </c>
      <c r="E18" s="8" t="s">
        <v>44</v>
      </c>
      <c r="F18" s="9">
        <v>1</v>
      </c>
      <c r="G18" s="10">
        <v>360000</v>
      </c>
      <c r="H18" s="10">
        <f>F18*G18</f>
      </c>
      <c r="I18" s="11"/>
      <c r="J18" s="11"/>
      <c r="K18" s="11"/>
    </row>
    <row r="19" ht="18" customHeight="1" spans="1:11" x14ac:dyDescent="0.25">
      <c r="A19" s="4"/>
      <c r="B19" s="5"/>
      <c r="C19" s="6"/>
      <c r="D19" s="7" t="s">
        <v>45</v>
      </c>
      <c r="E19" s="8" t="s">
        <v>46</v>
      </c>
      <c r="F19" s="9">
        <v>1</v>
      </c>
      <c r="G19" s="10">
        <v>47000</v>
      </c>
      <c r="H19" s="10">
        <f>F19*G19</f>
      </c>
      <c r="I19" s="11"/>
      <c r="J19" s="11"/>
      <c r="K19" s="11"/>
    </row>
    <row r="20" ht="18" customHeight="1" spans="1:11" x14ac:dyDescent="0.25">
      <c r="A20" s="4"/>
      <c r="B20" s="5"/>
      <c r="C20" s="6"/>
      <c r="D20" s="7" t="s">
        <v>47</v>
      </c>
      <c r="E20" s="8" t="s">
        <v>48</v>
      </c>
      <c r="F20" s="9">
        <v>1</v>
      </c>
      <c r="G20" s="10">
        <v>41000</v>
      </c>
      <c r="H20" s="10">
        <f>F20*G20</f>
      </c>
      <c r="I20" s="11"/>
      <c r="J20" s="11"/>
      <c r="K20" s="11"/>
    </row>
    <row r="21" ht="18" customHeight="1" spans="1:11" x14ac:dyDescent="0.25">
      <c r="A21" s="4"/>
      <c r="B21" s="5"/>
      <c r="C21" s="6"/>
      <c r="D21" s="7" t="s">
        <v>49</v>
      </c>
      <c r="E21" s="8" t="s">
        <v>50</v>
      </c>
      <c r="F21" s="9">
        <v>1</v>
      </c>
      <c r="G21" s="10">
        <v>25500</v>
      </c>
      <c r="H21" s="10">
        <f>F21*G21</f>
      </c>
      <c r="I21" s="11"/>
      <c r="J21" s="11"/>
      <c r="K21" s="11"/>
    </row>
    <row r="22" ht="18" customHeight="1" spans="1:11" x14ac:dyDescent="0.25">
      <c r="A22" s="4"/>
      <c r="B22" s="5"/>
      <c r="C22" s="6"/>
      <c r="D22" s="7" t="s">
        <v>51</v>
      </c>
      <c r="E22" s="8" t="s">
        <v>52</v>
      </c>
      <c r="F22" s="9">
        <v>1</v>
      </c>
      <c r="G22" s="10">
        <v>65000</v>
      </c>
      <c r="H22" s="10">
        <f>F22*G22</f>
      </c>
      <c r="I22" s="11"/>
      <c r="J22" s="11"/>
      <c r="K22" s="11"/>
    </row>
    <row r="23" ht="18" customHeight="1" spans="1:11" x14ac:dyDescent="0.25">
      <c r="A23" s="4"/>
      <c r="B23" s="5"/>
      <c r="C23" s="6"/>
      <c r="D23" s="7" t="s">
        <v>53</v>
      </c>
      <c r="E23" s="8" t="s">
        <v>54</v>
      </c>
      <c r="F23" s="9">
        <v>1</v>
      </c>
      <c r="G23" s="10">
        <v>65000</v>
      </c>
      <c r="H23" s="10">
        <f>F23*G23</f>
      </c>
      <c r="I23" s="11"/>
      <c r="J23" s="11"/>
      <c r="K23" s="11"/>
    </row>
    <row r="24" ht="18" customHeight="1" spans="1:11" x14ac:dyDescent="0.25">
      <c r="A24" s="4"/>
      <c r="B24" s="5"/>
      <c r="C24" s="6"/>
      <c r="D24" s="7" t="s">
        <v>55</v>
      </c>
      <c r="E24" s="8" t="s">
        <v>56</v>
      </c>
      <c r="F24" s="9">
        <v>1</v>
      </c>
      <c r="G24" s="10">
        <v>65000</v>
      </c>
      <c r="H24" s="10">
        <f>F24*G24</f>
      </c>
      <c r="I24" s="11"/>
      <c r="J24" s="11"/>
      <c r="K24" s="11"/>
    </row>
    <row r="25" ht="18" customHeight="1" spans="1:11" x14ac:dyDescent="0.25">
      <c r="A25" s="4"/>
      <c r="B25" s="5"/>
      <c r="C25" s="6"/>
      <c r="D25" s="7" t="s">
        <v>31</v>
      </c>
      <c r="E25" s="8" t="s">
        <v>32</v>
      </c>
      <c r="F25" s="9">
        <v>1</v>
      </c>
      <c r="G25" s="10">
        <v>65000</v>
      </c>
      <c r="H25" s="10">
        <f>F25*G25</f>
      </c>
      <c r="I25" s="11"/>
      <c r="J25" s="11"/>
      <c r="K25" s="11"/>
    </row>
    <row r="26" ht="18" customHeight="1" spans="1:11" x14ac:dyDescent="0.25">
      <c r="A26" s="4"/>
      <c r="B26" s="5"/>
      <c r="C26" s="6"/>
      <c r="D26" s="7" t="s">
        <v>33</v>
      </c>
      <c r="E26" s="8" t="s">
        <v>34</v>
      </c>
      <c r="F26" s="9">
        <v>1</v>
      </c>
      <c r="G26" s="10">
        <v>17000</v>
      </c>
      <c r="H26" s="10">
        <f>F26*G26</f>
      </c>
      <c r="I26" s="11"/>
      <c r="J26" s="11"/>
      <c r="K26" s="11"/>
    </row>
    <row r="27" ht="18" customHeight="1" spans="1:11" x14ac:dyDescent="0.25">
      <c r="A27" s="4"/>
      <c r="B27" s="5"/>
      <c r="C27" s="6"/>
      <c r="D27" s="7" t="s">
        <v>57</v>
      </c>
      <c r="E27" s="8" t="s">
        <v>58</v>
      </c>
      <c r="F27" s="9">
        <v>1</v>
      </c>
      <c r="G27" s="10">
        <v>30000</v>
      </c>
      <c r="H27" s="10">
        <f>F27*G27</f>
      </c>
      <c r="I27" s="11"/>
      <c r="J27" s="11"/>
      <c r="K27" s="11"/>
    </row>
    <row r="28" ht="18" customHeight="1" spans="1:11" x14ac:dyDescent="0.25">
      <c r="A28" s="4"/>
      <c r="B28" s="5"/>
      <c r="C28" s="6"/>
      <c r="D28" s="7" t="s">
        <v>59</v>
      </c>
      <c r="E28" s="8" t="s">
        <v>60</v>
      </c>
      <c r="F28" s="9">
        <v>1</v>
      </c>
      <c r="G28" s="10">
        <v>28500</v>
      </c>
      <c r="H28" s="10">
        <f>F28*G28</f>
      </c>
      <c r="I28" s="12">
        <f>SUM(H17:H28)</f>
      </c>
      <c r="J28" s="12">
        <f>C17-I28</f>
      </c>
      <c r="K28" s="13">
        <f>IF(ABS(J28)&lt;0.01,"MATCH","MISMATCH")</f>
      </c>
    </row>
    <row r="29" ht="5" customHeight="1" spans="1:1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ht="18" customHeight="1" spans="1:11" x14ac:dyDescent="0.25">
      <c r="A30" s="4" t="s">
        <v>61</v>
      </c>
      <c r="B30" s="5" t="s">
        <v>62</v>
      </c>
      <c r="C30" s="6">
        <v>1682500</v>
      </c>
      <c r="D30" s="7" t="s">
        <v>63</v>
      </c>
      <c r="E30" s="8" t="s">
        <v>64</v>
      </c>
      <c r="F30" s="9">
        <v>1</v>
      </c>
      <c r="G30" s="10">
        <v>540000</v>
      </c>
      <c r="H30" s="10">
        <f>F30*G30</f>
      </c>
      <c r="I30" s="11"/>
      <c r="J30" s="11"/>
      <c r="K30" s="11"/>
    </row>
    <row r="31" ht="18" customHeight="1" spans="1:11" x14ac:dyDescent="0.25">
      <c r="A31" s="4"/>
      <c r="B31" s="5"/>
      <c r="C31" s="6"/>
      <c r="D31" s="7" t="s">
        <v>65</v>
      </c>
      <c r="E31" s="8" t="s">
        <v>66</v>
      </c>
      <c r="F31" s="9">
        <v>1</v>
      </c>
      <c r="G31" s="10">
        <v>418500</v>
      </c>
      <c r="H31" s="10">
        <f>F31*G31</f>
      </c>
      <c r="I31" s="11"/>
      <c r="J31" s="11"/>
      <c r="K31" s="11"/>
    </row>
    <row r="32" ht="18" customHeight="1" spans="1:11" x14ac:dyDescent="0.25">
      <c r="A32" s="4"/>
      <c r="B32" s="5"/>
      <c r="C32" s="6"/>
      <c r="D32" s="7" t="s">
        <v>67</v>
      </c>
      <c r="E32" s="8" t="s">
        <v>68</v>
      </c>
      <c r="F32" s="9">
        <v>1</v>
      </c>
      <c r="G32" s="10">
        <v>47000</v>
      </c>
      <c r="H32" s="10">
        <f>F32*G32</f>
      </c>
      <c r="I32" s="11"/>
      <c r="J32" s="11"/>
      <c r="K32" s="11"/>
    </row>
    <row r="33" ht="18" customHeight="1" spans="1:11" x14ac:dyDescent="0.25">
      <c r="A33" s="4"/>
      <c r="B33" s="5"/>
      <c r="C33" s="6"/>
      <c r="D33" s="7" t="s">
        <v>69</v>
      </c>
      <c r="E33" s="8" t="s">
        <v>70</v>
      </c>
      <c r="F33" s="9">
        <v>1</v>
      </c>
      <c r="G33" s="10">
        <v>41000</v>
      </c>
      <c r="H33" s="10">
        <f>F33*G33</f>
      </c>
      <c r="I33" s="11"/>
      <c r="J33" s="11"/>
      <c r="K33" s="11"/>
    </row>
    <row r="34" ht="18" customHeight="1" spans="1:11" x14ac:dyDescent="0.25">
      <c r="A34" s="4"/>
      <c r="B34" s="5"/>
      <c r="C34" s="6"/>
      <c r="D34" s="7" t="s">
        <v>71</v>
      </c>
      <c r="E34" s="8" t="s">
        <v>72</v>
      </c>
      <c r="F34" s="9">
        <v>1</v>
      </c>
      <c r="G34" s="10">
        <v>25500</v>
      </c>
      <c r="H34" s="10">
        <f>F34*G34</f>
      </c>
      <c r="I34" s="11"/>
      <c r="J34" s="11"/>
      <c r="K34" s="11"/>
    </row>
    <row r="35" ht="18" customHeight="1" spans="1:11" x14ac:dyDescent="0.25">
      <c r="A35" s="4"/>
      <c r="B35" s="5"/>
      <c r="C35" s="6"/>
      <c r="D35" s="7" t="s">
        <v>73</v>
      </c>
      <c r="E35" s="8" t="s">
        <v>74</v>
      </c>
      <c r="F35" s="9">
        <v>1</v>
      </c>
      <c r="G35" s="10">
        <v>35000</v>
      </c>
      <c r="H35" s="10">
        <f>F35*G35</f>
      </c>
      <c r="I35" s="11"/>
      <c r="J35" s="11"/>
      <c r="K35" s="11"/>
    </row>
    <row r="36" ht="18" customHeight="1" spans="1:11" x14ac:dyDescent="0.25">
      <c r="A36" s="4"/>
      <c r="B36" s="5"/>
      <c r="C36" s="6"/>
      <c r="D36" s="7" t="s">
        <v>75</v>
      </c>
      <c r="E36" s="8" t="s">
        <v>76</v>
      </c>
      <c r="F36" s="9">
        <v>1</v>
      </c>
      <c r="G36" s="10">
        <v>65000</v>
      </c>
      <c r="H36" s="10">
        <f>F36*G36</f>
      </c>
      <c r="I36" s="11"/>
      <c r="J36" s="11"/>
      <c r="K36" s="11"/>
    </row>
    <row r="37" ht="18" customHeight="1" spans="1:11" x14ac:dyDescent="0.25">
      <c r="A37" s="4"/>
      <c r="B37" s="5"/>
      <c r="C37" s="6"/>
      <c r="D37" s="7" t="s">
        <v>77</v>
      </c>
      <c r="E37" s="8" t="s">
        <v>78</v>
      </c>
      <c r="F37" s="9">
        <v>1</v>
      </c>
      <c r="G37" s="10">
        <v>65000</v>
      </c>
      <c r="H37" s="10">
        <f>F37*G37</f>
      </c>
      <c r="I37" s="11"/>
      <c r="J37" s="11"/>
      <c r="K37" s="11"/>
    </row>
    <row r="38" ht="18" customHeight="1" spans="1:11" x14ac:dyDescent="0.25">
      <c r="A38" s="4"/>
      <c r="B38" s="5"/>
      <c r="C38" s="6"/>
      <c r="D38" s="7" t="s">
        <v>31</v>
      </c>
      <c r="E38" s="8" t="s">
        <v>32</v>
      </c>
      <c r="F38" s="9">
        <v>1</v>
      </c>
      <c r="G38" s="10">
        <v>65000</v>
      </c>
      <c r="H38" s="10">
        <f>F38*G38</f>
      </c>
      <c r="I38" s="11"/>
      <c r="J38" s="11"/>
      <c r="K38" s="11"/>
    </row>
    <row r="39" ht="18" customHeight="1" spans="1:11" x14ac:dyDescent="0.25">
      <c r="A39" s="4"/>
      <c r="B39" s="5"/>
      <c r="C39" s="6"/>
      <c r="D39" s="7" t="s">
        <v>33</v>
      </c>
      <c r="E39" s="8" t="s">
        <v>34</v>
      </c>
      <c r="F39" s="9">
        <v>1</v>
      </c>
      <c r="G39" s="10">
        <v>17000</v>
      </c>
      <c r="H39" s="10">
        <f>F39*G39</f>
      </c>
      <c r="I39" s="11"/>
      <c r="J39" s="11"/>
      <c r="K39" s="11"/>
    </row>
    <row r="40" ht="18" customHeight="1" spans="1:11" x14ac:dyDescent="0.25">
      <c r="A40" s="4"/>
      <c r="B40" s="5"/>
      <c r="C40" s="6"/>
      <c r="D40" s="7" t="s">
        <v>79</v>
      </c>
      <c r="E40" s="8" t="s">
        <v>80</v>
      </c>
      <c r="F40" s="9">
        <v>1</v>
      </c>
      <c r="G40" s="10">
        <v>35000</v>
      </c>
      <c r="H40" s="10">
        <f>F40*G40</f>
      </c>
      <c r="I40" s="11"/>
      <c r="J40" s="11"/>
      <c r="K40" s="11"/>
    </row>
    <row r="41" ht="18" customHeight="1" spans="1:11" x14ac:dyDescent="0.25">
      <c r="A41" s="4"/>
      <c r="B41" s="5"/>
      <c r="C41" s="6"/>
      <c r="D41" s="7" t="s">
        <v>81</v>
      </c>
      <c r="E41" s="8" t="s">
        <v>82</v>
      </c>
      <c r="F41" s="9">
        <v>1</v>
      </c>
      <c r="G41" s="10">
        <v>20000</v>
      </c>
      <c r="H41" s="10">
        <f>F41*G41</f>
      </c>
      <c r="I41" s="12">
        <f>SUM(H30:H41)</f>
      </c>
      <c r="J41" s="12">
        <f>C30-I41</f>
      </c>
      <c r="K41" s="13">
        <f>IF(ABS(J41)&lt;0.01,"MATCH","MISMATCH")</f>
      </c>
    </row>
    <row r="42" ht="5" customHeight="1" spans="1:11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ht="18" customHeight="1" spans="1:11" x14ac:dyDescent="0.25">
      <c r="A43" s="4" t="s">
        <v>83</v>
      </c>
      <c r="B43" s="5" t="s">
        <v>84</v>
      </c>
      <c r="C43" s="6">
        <v>2304500</v>
      </c>
      <c r="D43" s="7" t="s">
        <v>85</v>
      </c>
      <c r="E43" s="8" t="s">
        <v>86</v>
      </c>
      <c r="F43" s="9">
        <v>1</v>
      </c>
      <c r="G43" s="10">
        <v>593500</v>
      </c>
      <c r="H43" s="10">
        <f>F43*G43</f>
      </c>
      <c r="I43" s="11"/>
      <c r="J43" s="11"/>
      <c r="K43" s="11"/>
    </row>
    <row r="44" ht="18" customHeight="1" spans="1:11" x14ac:dyDescent="0.25">
      <c r="A44" s="4"/>
      <c r="B44" s="5"/>
      <c r="C44" s="6"/>
      <c r="D44" s="7" t="s">
        <v>43</v>
      </c>
      <c r="E44" s="8" t="s">
        <v>44</v>
      </c>
      <c r="F44" s="9">
        <v>2</v>
      </c>
      <c r="G44" s="10">
        <v>360000</v>
      </c>
      <c r="H44" s="10">
        <f>F44*G44</f>
      </c>
      <c r="I44" s="11"/>
      <c r="J44" s="11"/>
      <c r="K44" s="11"/>
    </row>
    <row r="45" ht="18" customHeight="1" spans="1:11" x14ac:dyDescent="0.25">
      <c r="A45" s="4"/>
      <c r="B45" s="5"/>
      <c r="C45" s="6"/>
      <c r="D45" s="7" t="s">
        <v>87</v>
      </c>
      <c r="E45" s="8" t="s">
        <v>88</v>
      </c>
      <c r="F45" s="9">
        <v>1</v>
      </c>
      <c r="G45" s="10">
        <v>47000</v>
      </c>
      <c r="H45" s="10">
        <f>F45*G45</f>
      </c>
      <c r="I45" s="11"/>
      <c r="J45" s="11"/>
      <c r="K45" s="11"/>
    </row>
    <row r="46" ht="18" customHeight="1" spans="1:11" x14ac:dyDescent="0.25">
      <c r="A46" s="4"/>
      <c r="B46" s="5"/>
      <c r="C46" s="6"/>
      <c r="D46" s="7" t="s">
        <v>89</v>
      </c>
      <c r="E46" s="8" t="s">
        <v>90</v>
      </c>
      <c r="F46" s="9">
        <v>1</v>
      </c>
      <c r="G46" s="10">
        <v>41000</v>
      </c>
      <c r="H46" s="10">
        <f>F46*G46</f>
      </c>
      <c r="I46" s="11"/>
      <c r="J46" s="11"/>
      <c r="K46" s="11"/>
    </row>
    <row r="47" ht="18" customHeight="1" spans="1:11" x14ac:dyDescent="0.25">
      <c r="A47" s="4"/>
      <c r="B47" s="5"/>
      <c r="C47" s="6"/>
      <c r="D47" s="7" t="s">
        <v>91</v>
      </c>
      <c r="E47" s="8" t="s">
        <v>92</v>
      </c>
      <c r="F47" s="9">
        <v>1</v>
      </c>
      <c r="G47" s="10">
        <v>32500</v>
      </c>
      <c r="H47" s="10">
        <f>F47*G47</f>
      </c>
      <c r="I47" s="11"/>
      <c r="J47" s="11"/>
      <c r="K47" s="11"/>
    </row>
    <row r="48" ht="18" customHeight="1" spans="1:11" x14ac:dyDescent="0.25">
      <c r="A48" s="4"/>
      <c r="B48" s="5"/>
      <c r="C48" s="6"/>
      <c r="D48" s="7" t="s">
        <v>93</v>
      </c>
      <c r="E48" s="8" t="s">
        <v>94</v>
      </c>
      <c r="F48" s="9">
        <v>1</v>
      </c>
      <c r="G48" s="10">
        <v>65000</v>
      </c>
      <c r="H48" s="10">
        <f>F48*G48</f>
      </c>
      <c r="I48" s="11"/>
      <c r="J48" s="11"/>
      <c r="K48" s="11"/>
    </row>
    <row r="49" ht="18" customHeight="1" spans="1:11" x14ac:dyDescent="0.25">
      <c r="A49" s="4"/>
      <c r="B49" s="5"/>
      <c r="C49" s="6"/>
      <c r="D49" s="7" t="s">
        <v>95</v>
      </c>
      <c r="E49" s="8" t="s">
        <v>96</v>
      </c>
      <c r="F49" s="9">
        <v>1</v>
      </c>
      <c r="G49" s="10">
        <v>65000</v>
      </c>
      <c r="H49" s="10">
        <f>F49*G49</f>
      </c>
      <c r="I49" s="11"/>
      <c r="J49" s="11"/>
      <c r="K49" s="11"/>
    </row>
    <row r="50" ht="18" customHeight="1" spans="1:11" x14ac:dyDescent="0.25">
      <c r="A50" s="4"/>
      <c r="B50" s="5"/>
      <c r="C50" s="6"/>
      <c r="D50" s="7" t="s">
        <v>97</v>
      </c>
      <c r="E50" s="8" t="s">
        <v>98</v>
      </c>
      <c r="F50" s="9">
        <v>1</v>
      </c>
      <c r="G50" s="10">
        <v>65000</v>
      </c>
      <c r="H50" s="10">
        <f>F50*G50</f>
      </c>
      <c r="I50" s="11"/>
      <c r="J50" s="11"/>
      <c r="K50" s="11"/>
    </row>
    <row r="51" ht="18" customHeight="1" spans="1:11" x14ac:dyDescent="0.25">
      <c r="A51" s="4"/>
      <c r="B51" s="5"/>
      <c r="C51" s="6"/>
      <c r="D51" s="7" t="s">
        <v>99</v>
      </c>
      <c r="E51" s="8" t="s">
        <v>100</v>
      </c>
      <c r="F51" s="9">
        <v>1</v>
      </c>
      <c r="G51" s="10">
        <v>65000</v>
      </c>
      <c r="H51" s="10">
        <f>F51*G51</f>
      </c>
      <c r="I51" s="11"/>
      <c r="J51" s="11"/>
      <c r="K51" s="11"/>
    </row>
    <row r="52" ht="18" customHeight="1" spans="1:11" x14ac:dyDescent="0.25">
      <c r="A52" s="4"/>
      <c r="B52" s="5"/>
      <c r="C52" s="6"/>
      <c r="D52" s="7" t="s">
        <v>33</v>
      </c>
      <c r="E52" s="8" t="s">
        <v>34</v>
      </c>
      <c r="F52" s="9">
        <v>1</v>
      </c>
      <c r="G52" s="10">
        <v>17000</v>
      </c>
      <c r="H52" s="10">
        <f>F52*G52</f>
      </c>
      <c r="I52" s="11"/>
      <c r="J52" s="11"/>
      <c r="K52" s="11"/>
    </row>
    <row r="53" ht="18" customHeight="1" spans="1:11" x14ac:dyDescent="0.25">
      <c r="A53" s="4"/>
      <c r="B53" s="5"/>
      <c r="C53" s="6"/>
      <c r="D53" s="7" t="s">
        <v>101</v>
      </c>
      <c r="E53" s="8" t="s">
        <v>102</v>
      </c>
      <c r="F53" s="9">
        <v>1</v>
      </c>
      <c r="G53" s="10">
        <v>40000</v>
      </c>
      <c r="H53" s="10">
        <f>F53*G53</f>
      </c>
      <c r="I53" s="11"/>
      <c r="J53" s="11"/>
      <c r="K53" s="11"/>
    </row>
    <row r="54" ht="18" customHeight="1" spans="1:11" x14ac:dyDescent="0.25">
      <c r="A54" s="4"/>
      <c r="B54" s="5"/>
      <c r="C54" s="6"/>
      <c r="D54" s="7" t="s">
        <v>103</v>
      </c>
      <c r="E54" s="8" t="s">
        <v>104</v>
      </c>
      <c r="F54" s="9">
        <v>1</v>
      </c>
      <c r="G54" s="10">
        <v>25000</v>
      </c>
      <c r="H54" s="10">
        <f>F54*G54</f>
      </c>
      <c r="I54" s="12">
        <f>SUM(H43:H54)</f>
      </c>
      <c r="J54" s="12">
        <f>C43-I54</f>
      </c>
      <c r="K54" s="13">
        <f>IF(ABS(J54)&lt;0.01,"MATCH","MISMATCH")</f>
      </c>
    </row>
    <row r="55" ht="5" customHeight="1" spans="1:11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ht="18" customHeight="1" spans="1:11" x14ac:dyDescent="0.25">
      <c r="A56" s="4" t="s">
        <v>105</v>
      </c>
      <c r="B56" s="5" t="s">
        <v>106</v>
      </c>
      <c r="C56" s="6">
        <v>912500</v>
      </c>
      <c r="D56" s="7" t="s">
        <v>107</v>
      </c>
      <c r="E56" s="8" t="s">
        <v>108</v>
      </c>
      <c r="F56" s="9">
        <v>1</v>
      </c>
      <c r="G56" s="10">
        <v>310500</v>
      </c>
      <c r="H56" s="10">
        <f>F56*G56</f>
      </c>
      <c r="I56" s="11"/>
      <c r="J56" s="11"/>
      <c r="K56" s="11"/>
    </row>
    <row r="57" ht="18" customHeight="1" spans="1:11" x14ac:dyDescent="0.25">
      <c r="A57" s="4"/>
      <c r="B57" s="5"/>
      <c r="C57" s="6"/>
      <c r="D57" s="7" t="s">
        <v>17</v>
      </c>
      <c r="E57" s="8" t="s">
        <v>18</v>
      </c>
      <c r="F57" s="9">
        <v>1</v>
      </c>
      <c r="G57" s="10">
        <v>301500</v>
      </c>
      <c r="H57" s="10">
        <f>F57*G57</f>
      </c>
      <c r="I57" s="11"/>
      <c r="J57" s="11"/>
      <c r="K57" s="11"/>
    </row>
    <row r="58" ht="18" customHeight="1" spans="1:11" x14ac:dyDescent="0.25">
      <c r="A58" s="4"/>
      <c r="B58" s="5"/>
      <c r="C58" s="6"/>
      <c r="D58" s="7" t="s">
        <v>109</v>
      </c>
      <c r="E58" s="8" t="s">
        <v>110</v>
      </c>
      <c r="F58" s="9">
        <v>1</v>
      </c>
      <c r="G58" s="10">
        <v>47000</v>
      </c>
      <c r="H58" s="10">
        <f>F58*G58</f>
      </c>
      <c r="I58" s="11"/>
      <c r="J58" s="11"/>
      <c r="K58" s="11"/>
    </row>
    <row r="59" ht="18" customHeight="1" spans="1:11" x14ac:dyDescent="0.25">
      <c r="A59" s="4"/>
      <c r="B59" s="5"/>
      <c r="C59" s="6"/>
      <c r="D59" s="7" t="s">
        <v>111</v>
      </c>
      <c r="E59" s="8" t="s">
        <v>112</v>
      </c>
      <c r="F59" s="9">
        <v>1</v>
      </c>
      <c r="G59" s="10">
        <v>41000</v>
      </c>
      <c r="H59" s="10">
        <f>F59*G59</f>
      </c>
      <c r="I59" s="11"/>
      <c r="J59" s="11"/>
      <c r="K59" s="11"/>
    </row>
    <row r="60" ht="18" customHeight="1" spans="1:11" x14ac:dyDescent="0.25">
      <c r="A60" s="4"/>
      <c r="B60" s="5"/>
      <c r="C60" s="6"/>
      <c r="D60" s="7" t="s">
        <v>23</v>
      </c>
      <c r="E60" s="8" t="s">
        <v>24</v>
      </c>
      <c r="F60" s="9">
        <v>1</v>
      </c>
      <c r="G60" s="10">
        <v>25500</v>
      </c>
      <c r="H60" s="10">
        <f>F60*G60</f>
      </c>
      <c r="I60" s="11"/>
      <c r="J60" s="11"/>
      <c r="K60" s="11"/>
    </row>
    <row r="61" ht="18" customHeight="1" spans="1:11" x14ac:dyDescent="0.25">
      <c r="A61" s="4"/>
      <c r="B61" s="5"/>
      <c r="C61" s="6"/>
      <c r="D61" s="7" t="s">
        <v>113</v>
      </c>
      <c r="E61" s="8" t="s">
        <v>114</v>
      </c>
      <c r="F61" s="9">
        <v>1</v>
      </c>
      <c r="G61" s="10">
        <v>35000</v>
      </c>
      <c r="H61" s="10">
        <f>F61*G61</f>
      </c>
      <c r="I61" s="11"/>
      <c r="J61" s="11"/>
      <c r="K61" s="11"/>
    </row>
    <row r="62" ht="18" customHeight="1" spans="1:11" x14ac:dyDescent="0.25">
      <c r="A62" s="4"/>
      <c r="B62" s="5"/>
      <c r="C62" s="6"/>
      <c r="D62" s="7" t="s">
        <v>27</v>
      </c>
      <c r="E62" s="8" t="s">
        <v>28</v>
      </c>
      <c r="F62" s="9">
        <v>1</v>
      </c>
      <c r="G62" s="10">
        <v>35000</v>
      </c>
      <c r="H62" s="10">
        <f>F62*G62</f>
      </c>
      <c r="I62" s="11"/>
      <c r="J62" s="11"/>
      <c r="K62" s="11"/>
    </row>
    <row r="63" ht="18" customHeight="1" spans="1:11" x14ac:dyDescent="0.25">
      <c r="A63" s="4"/>
      <c r="B63" s="5"/>
      <c r="C63" s="6"/>
      <c r="D63" s="7" t="s">
        <v>29</v>
      </c>
      <c r="E63" s="8" t="s">
        <v>30</v>
      </c>
      <c r="F63" s="9">
        <v>1</v>
      </c>
      <c r="G63" s="10">
        <v>15000</v>
      </c>
      <c r="H63" s="10">
        <f>F63*G63</f>
      </c>
      <c r="I63" s="11"/>
      <c r="J63" s="11"/>
      <c r="K63" s="11"/>
    </row>
    <row r="64" ht="18" customHeight="1" spans="1:11" x14ac:dyDescent="0.25">
      <c r="A64" s="4"/>
      <c r="B64" s="5"/>
      <c r="C64" s="6"/>
      <c r="D64" s="7" t="s">
        <v>115</v>
      </c>
      <c r="E64" s="8" t="s">
        <v>116</v>
      </c>
      <c r="F64" s="9">
        <v>1</v>
      </c>
      <c r="G64" s="10">
        <v>35000</v>
      </c>
      <c r="H64" s="10">
        <f>F64*G64</f>
      </c>
      <c r="I64" s="11"/>
      <c r="J64" s="11"/>
      <c r="K64" s="11"/>
    </row>
    <row r="65" ht="18" customHeight="1" spans="1:11" x14ac:dyDescent="0.25">
      <c r="A65" s="4"/>
      <c r="B65" s="5"/>
      <c r="C65" s="6"/>
      <c r="D65" s="7" t="s">
        <v>33</v>
      </c>
      <c r="E65" s="8" t="s">
        <v>34</v>
      </c>
      <c r="F65" s="9">
        <v>1</v>
      </c>
      <c r="G65" s="10">
        <v>17000</v>
      </c>
      <c r="H65" s="10">
        <f>F65*G65</f>
      </c>
      <c r="I65" s="11"/>
      <c r="J65" s="11"/>
      <c r="K65" s="11"/>
    </row>
    <row r="66" ht="18" customHeight="1" spans="1:11" x14ac:dyDescent="0.25">
      <c r="A66" s="4"/>
      <c r="B66" s="5"/>
      <c r="C66" s="6"/>
      <c r="D66" s="7" t="s">
        <v>35</v>
      </c>
      <c r="E66" s="8" t="s">
        <v>36</v>
      </c>
      <c r="F66" s="9">
        <v>1</v>
      </c>
      <c r="G66" s="10">
        <v>30000</v>
      </c>
      <c r="H66" s="10">
        <f>F66*G66</f>
      </c>
      <c r="I66" s="11"/>
      <c r="J66" s="11"/>
      <c r="K66" s="11"/>
    </row>
    <row r="67" ht="18" customHeight="1" spans="1:11" x14ac:dyDescent="0.25">
      <c r="A67" s="4"/>
      <c r="B67" s="5"/>
      <c r="C67" s="6"/>
      <c r="D67" s="7" t="s">
        <v>37</v>
      </c>
      <c r="E67" s="8" t="s">
        <v>38</v>
      </c>
      <c r="F67" s="9">
        <v>1</v>
      </c>
      <c r="G67" s="10">
        <v>20000</v>
      </c>
      <c r="H67" s="10">
        <f>F67*G67</f>
      </c>
      <c r="I67" s="15">
        <f>SUM(H56:H67)</f>
      </c>
      <c r="J67" s="15">
        <f>C56-I67</f>
      </c>
      <c r="K67" s="16">
        <f>IF(ABS(J67)&lt;0.01,"MATCH","MISMATCH")</f>
      </c>
    </row>
    <row r="68" ht="5" customHeight="1" spans="1:11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</row>
    <row r="69" ht="18" customHeight="1" spans="1:11" x14ac:dyDescent="0.25">
      <c r="A69" s="4" t="s">
        <v>117</v>
      </c>
      <c r="B69" s="5" t="s">
        <v>118</v>
      </c>
      <c r="C69" s="6">
        <v>3803500</v>
      </c>
      <c r="D69" s="7" t="s">
        <v>119</v>
      </c>
      <c r="E69" s="8" t="s">
        <v>120</v>
      </c>
      <c r="F69" s="9">
        <v>1</v>
      </c>
      <c r="G69" s="10">
        <v>754000</v>
      </c>
      <c r="H69" s="10">
        <f>F69*G69</f>
      </c>
      <c r="I69" s="11"/>
      <c r="J69" s="11"/>
      <c r="K69" s="11"/>
    </row>
    <row r="70" ht="18" customHeight="1" spans="1:11" x14ac:dyDescent="0.25">
      <c r="A70" s="4"/>
      <c r="B70" s="5"/>
      <c r="C70" s="6"/>
      <c r="D70" s="7" t="s">
        <v>43</v>
      </c>
      <c r="E70" s="8" t="s">
        <v>44</v>
      </c>
      <c r="F70" s="9">
        <v>4</v>
      </c>
      <c r="G70" s="10">
        <v>360000</v>
      </c>
      <c r="H70" s="10">
        <f>F70*G70</f>
      </c>
      <c r="I70" s="11"/>
      <c r="J70" s="11"/>
      <c r="K70" s="11"/>
    </row>
    <row r="71" ht="18" customHeight="1" spans="1:11" x14ac:dyDescent="0.25">
      <c r="A71" s="4"/>
      <c r="B71" s="5"/>
      <c r="C71" s="6"/>
      <c r="D71" s="7" t="s">
        <v>121</v>
      </c>
      <c r="E71" s="8" t="s">
        <v>122</v>
      </c>
      <c r="F71" s="9">
        <v>1</v>
      </c>
      <c r="G71" s="10">
        <v>59500</v>
      </c>
      <c r="H71" s="10">
        <f>F71*G71</f>
      </c>
      <c r="I71" s="11"/>
      <c r="J71" s="11"/>
      <c r="K71" s="11"/>
    </row>
    <row r="72" ht="18" customHeight="1" spans="1:11" x14ac:dyDescent="0.25">
      <c r="A72" s="4"/>
      <c r="B72" s="5"/>
      <c r="C72" s="6"/>
      <c r="D72" s="7" t="s">
        <v>123</v>
      </c>
      <c r="E72" s="8" t="s">
        <v>124</v>
      </c>
      <c r="F72" s="9">
        <v>1</v>
      </c>
      <c r="G72" s="10">
        <v>50000</v>
      </c>
      <c r="H72" s="10">
        <f>F72*G72</f>
      </c>
      <c r="I72" s="11"/>
      <c r="J72" s="11"/>
      <c r="K72" s="11"/>
    </row>
    <row r="73" ht="18" customHeight="1" spans="1:11" x14ac:dyDescent="0.25">
      <c r="A73" s="4"/>
      <c r="B73" s="5"/>
      <c r="C73" s="6"/>
      <c r="D73" s="7" t="s">
        <v>125</v>
      </c>
      <c r="E73" s="8" t="s">
        <v>126</v>
      </c>
      <c r="F73" s="9">
        <v>1</v>
      </c>
      <c r="G73" s="10">
        <v>68500</v>
      </c>
      <c r="H73" s="10">
        <f>F73*G73</f>
      </c>
      <c r="I73" s="11"/>
      <c r="J73" s="11"/>
      <c r="K73" s="11"/>
    </row>
    <row r="74" ht="18" customHeight="1" spans="1:11" x14ac:dyDescent="0.25">
      <c r="A74" s="4"/>
      <c r="B74" s="5"/>
      <c r="C74" s="6"/>
      <c r="D74" s="7" t="s">
        <v>127</v>
      </c>
      <c r="E74" s="8" t="s">
        <v>128</v>
      </c>
      <c r="F74" s="9">
        <v>2</v>
      </c>
      <c r="G74" s="10">
        <v>65000</v>
      </c>
      <c r="H74" s="10">
        <f>F74*G74</f>
      </c>
      <c r="I74" s="11"/>
      <c r="J74" s="11"/>
      <c r="K74" s="11"/>
    </row>
    <row r="75" ht="18" customHeight="1" spans="1:11" x14ac:dyDescent="0.25">
      <c r="A75" s="4"/>
      <c r="B75" s="5"/>
      <c r="C75" s="6"/>
      <c r="D75" s="7" t="s">
        <v>129</v>
      </c>
      <c r="E75" s="8" t="s">
        <v>130</v>
      </c>
      <c r="F75" s="9">
        <v>1</v>
      </c>
      <c r="G75" s="10">
        <v>65000</v>
      </c>
      <c r="H75" s="10">
        <f>F75*G75</f>
      </c>
      <c r="I75" s="11"/>
      <c r="J75" s="11"/>
      <c r="K75" s="11"/>
    </row>
    <row r="76" ht="18" customHeight="1" spans="1:11" x14ac:dyDescent="0.25">
      <c r="A76" s="4"/>
      <c r="B76" s="5"/>
      <c r="C76" s="6"/>
      <c r="D76" s="7" t="s">
        <v>131</v>
      </c>
      <c r="E76" s="8" t="s">
        <v>132</v>
      </c>
      <c r="F76" s="9">
        <v>1</v>
      </c>
      <c r="G76" s="10">
        <v>65000</v>
      </c>
      <c r="H76" s="10">
        <f>F76*G76</f>
      </c>
      <c r="I76" s="11"/>
      <c r="J76" s="11"/>
      <c r="K76" s="11"/>
    </row>
    <row r="77" ht="18" customHeight="1" spans="1:11" x14ac:dyDescent="0.25">
      <c r="A77" s="4"/>
      <c r="B77" s="5"/>
      <c r="C77" s="6"/>
      <c r="D77" s="7" t="s">
        <v>133</v>
      </c>
      <c r="E77" s="8" t="s">
        <v>134</v>
      </c>
      <c r="F77" s="9">
        <v>2</v>
      </c>
      <c r="G77" s="10">
        <v>65000</v>
      </c>
      <c r="H77" s="10">
        <f>F77*G77</f>
      </c>
      <c r="I77" s="11"/>
      <c r="J77" s="11"/>
      <c r="K77" s="11"/>
    </row>
    <row r="78" ht="18" customHeight="1" spans="1:11" x14ac:dyDescent="0.25">
      <c r="A78" s="4"/>
      <c r="B78" s="5"/>
      <c r="C78" s="6"/>
      <c r="D78" s="7" t="s">
        <v>135</v>
      </c>
      <c r="E78" s="8" t="s">
        <v>136</v>
      </c>
      <c r="F78" s="9">
        <v>1</v>
      </c>
      <c r="G78" s="10">
        <v>25000</v>
      </c>
      <c r="H78" s="10">
        <f>F78*G78</f>
      </c>
      <c r="I78" s="11"/>
      <c r="J78" s="11"/>
      <c r="K78" s="11"/>
    </row>
    <row r="79" ht="18" customHeight="1" spans="1:11" x14ac:dyDescent="0.25">
      <c r="A79" s="4"/>
      <c r="B79" s="5"/>
      <c r="C79" s="6"/>
      <c r="D79" s="7" t="s">
        <v>137</v>
      </c>
      <c r="E79" s="8" t="s">
        <v>138</v>
      </c>
      <c r="F79" s="9">
        <v>1</v>
      </c>
      <c r="G79" s="10">
        <v>85000</v>
      </c>
      <c r="H79" s="10">
        <f>F79*G79</f>
      </c>
      <c r="I79" s="11"/>
      <c r="J79" s="11"/>
      <c r="K79" s="11"/>
    </row>
    <row r="80" ht="18" customHeight="1" spans="1:11" x14ac:dyDescent="0.25">
      <c r="A80" s="4"/>
      <c r="B80" s="5"/>
      <c r="C80" s="6"/>
      <c r="D80" s="7" t="s">
        <v>139</v>
      </c>
      <c r="E80" s="8" t="s">
        <v>140</v>
      </c>
      <c r="F80" s="9">
        <v>1</v>
      </c>
      <c r="G80" s="10">
        <v>35000</v>
      </c>
      <c r="H80" s="10">
        <f>F80*G80</f>
      </c>
      <c r="I80" s="12">
        <f>SUM(H69:H80)</f>
      </c>
      <c r="J80" s="12">
        <f>C69-I80</f>
      </c>
      <c r="K80" s="13">
        <f>IF(ABS(J80)&lt;0.01,"MATCH","MISMATCH")</f>
      </c>
    </row>
    <row r="81" ht="5" customHeight="1" spans="1:11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</row>
    <row r="82" ht="18" customHeight="1" spans="1:11" x14ac:dyDescent="0.25">
      <c r="A82" s="4" t="s">
        <v>141</v>
      </c>
      <c r="B82" s="5" t="s">
        <v>142</v>
      </c>
      <c r="C82" s="6">
        <v>890000</v>
      </c>
      <c r="D82" s="7" t="s">
        <v>143</v>
      </c>
      <c r="E82" s="8" t="s">
        <v>144</v>
      </c>
      <c r="F82" s="9">
        <v>1</v>
      </c>
      <c r="G82" s="10">
        <v>125000</v>
      </c>
      <c r="H82" s="10">
        <f>F82*G82</f>
      </c>
      <c r="I82" s="11"/>
      <c r="J82" s="11"/>
      <c r="K82" s="11"/>
    </row>
    <row r="83" ht="18" customHeight="1" spans="1:11" x14ac:dyDescent="0.25">
      <c r="A83" s="4"/>
      <c r="B83" s="5"/>
      <c r="C83" s="6"/>
      <c r="D83" s="7" t="s">
        <v>43</v>
      </c>
      <c r="E83" s="8" t="s">
        <v>44</v>
      </c>
      <c r="F83" s="9">
        <v>1</v>
      </c>
      <c r="G83" s="10">
        <v>360000</v>
      </c>
      <c r="H83" s="10">
        <f>F83*G83</f>
      </c>
      <c r="I83" s="11"/>
      <c r="J83" s="11"/>
      <c r="K83" s="11"/>
    </row>
    <row r="84" ht="18" customHeight="1" spans="1:11" x14ac:dyDescent="0.25">
      <c r="A84" s="4"/>
      <c r="B84" s="5"/>
      <c r="C84" s="6"/>
      <c r="D84" s="7" t="s">
        <v>49</v>
      </c>
      <c r="E84" s="8" t="s">
        <v>50</v>
      </c>
      <c r="F84" s="9">
        <v>1</v>
      </c>
      <c r="G84" s="10">
        <v>25500</v>
      </c>
      <c r="H84" s="10">
        <f>F84*G84</f>
      </c>
      <c r="I84" s="11"/>
      <c r="J84" s="11"/>
      <c r="K84" s="11"/>
    </row>
    <row r="85" ht="18" customHeight="1" spans="1:11" x14ac:dyDescent="0.25">
      <c r="A85" s="4"/>
      <c r="B85" s="5"/>
      <c r="C85" s="6"/>
      <c r="D85" s="7" t="s">
        <v>145</v>
      </c>
      <c r="E85" s="8" t="s">
        <v>146</v>
      </c>
      <c r="F85" s="9">
        <v>1</v>
      </c>
      <c r="G85" s="10">
        <v>65000</v>
      </c>
      <c r="H85" s="10">
        <f>F85*G85</f>
      </c>
      <c r="I85" s="11"/>
      <c r="J85" s="11"/>
      <c r="K85" s="11"/>
    </row>
    <row r="86" ht="18" customHeight="1" spans="1:11" x14ac:dyDescent="0.25">
      <c r="A86" s="4"/>
      <c r="B86" s="5"/>
      <c r="C86" s="6"/>
      <c r="D86" s="7" t="s">
        <v>53</v>
      </c>
      <c r="E86" s="8" t="s">
        <v>54</v>
      </c>
      <c r="F86" s="9">
        <v>1</v>
      </c>
      <c r="G86" s="10">
        <v>65000</v>
      </c>
      <c r="H86" s="10">
        <f>F86*G86</f>
      </c>
      <c r="I86" s="11"/>
      <c r="J86" s="11"/>
      <c r="K86" s="11"/>
    </row>
    <row r="87" ht="18" customHeight="1" spans="1:11" x14ac:dyDescent="0.25">
      <c r="A87" s="4"/>
      <c r="B87" s="5"/>
      <c r="C87" s="6"/>
      <c r="D87" s="7" t="s">
        <v>55</v>
      </c>
      <c r="E87" s="8" t="s">
        <v>56</v>
      </c>
      <c r="F87" s="9">
        <v>1</v>
      </c>
      <c r="G87" s="10">
        <v>65000</v>
      </c>
      <c r="H87" s="10">
        <f>F87*G87</f>
      </c>
      <c r="I87" s="11"/>
      <c r="J87" s="11"/>
      <c r="K87" s="11"/>
    </row>
    <row r="88" ht="18" customHeight="1" spans="1:11" x14ac:dyDescent="0.25">
      <c r="A88" s="4"/>
      <c r="B88" s="5"/>
      <c r="C88" s="6"/>
      <c r="D88" s="7" t="s">
        <v>147</v>
      </c>
      <c r="E88" s="8" t="s">
        <v>148</v>
      </c>
      <c r="F88" s="9">
        <v>1</v>
      </c>
      <c r="G88" s="10">
        <v>27000</v>
      </c>
      <c r="H88" s="10">
        <f>F88*G88</f>
      </c>
      <c r="I88" s="11"/>
      <c r="J88" s="11"/>
      <c r="K88" s="11"/>
    </row>
    <row r="89" ht="18" customHeight="1" spans="1:11" x14ac:dyDescent="0.25">
      <c r="A89" s="4"/>
      <c r="B89" s="5"/>
      <c r="C89" s="6"/>
      <c r="D89" s="7" t="s">
        <v>149</v>
      </c>
      <c r="E89" s="8" t="s">
        <v>150</v>
      </c>
      <c r="F89" s="9">
        <v>1</v>
      </c>
      <c r="G89" s="10">
        <v>17000</v>
      </c>
      <c r="H89" s="10">
        <f>F89*G89</f>
      </c>
      <c r="I89" s="11"/>
      <c r="J89" s="11"/>
      <c r="K89" s="11"/>
    </row>
    <row r="90" ht="18" customHeight="1" spans="1:11" x14ac:dyDescent="0.25">
      <c r="A90" s="4"/>
      <c r="B90" s="5"/>
      <c r="C90" s="6"/>
      <c r="D90" s="7" t="s">
        <v>31</v>
      </c>
      <c r="E90" s="8" t="s">
        <v>32</v>
      </c>
      <c r="F90" s="9">
        <v>1</v>
      </c>
      <c r="G90" s="10">
        <v>65000</v>
      </c>
      <c r="H90" s="10">
        <f>F90*G90</f>
      </c>
      <c r="I90" s="11"/>
      <c r="J90" s="11"/>
      <c r="K90" s="11"/>
    </row>
    <row r="91" ht="18" customHeight="1" spans="1:11" x14ac:dyDescent="0.25">
      <c r="A91" s="4"/>
      <c r="B91" s="5"/>
      <c r="C91" s="6"/>
      <c r="D91" s="7" t="s">
        <v>33</v>
      </c>
      <c r="E91" s="8" t="s">
        <v>34</v>
      </c>
      <c r="F91" s="9">
        <v>1</v>
      </c>
      <c r="G91" s="10">
        <v>17000</v>
      </c>
      <c r="H91" s="10">
        <f>F91*G91</f>
      </c>
      <c r="I91" s="11"/>
      <c r="J91" s="11"/>
      <c r="K91" s="11"/>
    </row>
    <row r="92" ht="18" customHeight="1" spans="1:11" x14ac:dyDescent="0.25">
      <c r="A92" s="4"/>
      <c r="B92" s="5"/>
      <c r="C92" s="6"/>
      <c r="D92" s="7" t="s">
        <v>57</v>
      </c>
      <c r="E92" s="8" t="s">
        <v>58</v>
      </c>
      <c r="F92" s="9">
        <v>1</v>
      </c>
      <c r="G92" s="10">
        <v>30000</v>
      </c>
      <c r="H92" s="10">
        <f>F92*G92</f>
      </c>
      <c r="I92" s="11"/>
      <c r="J92" s="11"/>
      <c r="K92" s="11"/>
    </row>
    <row r="93" ht="18" customHeight="1" spans="1:11" x14ac:dyDescent="0.25">
      <c r="A93" s="4"/>
      <c r="B93" s="5"/>
      <c r="C93" s="6"/>
      <c r="D93" s="7" t="s">
        <v>59</v>
      </c>
      <c r="E93" s="8" t="s">
        <v>60</v>
      </c>
      <c r="F93" s="9">
        <v>1</v>
      </c>
      <c r="G93" s="10">
        <v>28500</v>
      </c>
      <c r="H93" s="10">
        <f>F93*G93</f>
      </c>
      <c r="I93" s="15">
        <f>SUM(H82:H93)</f>
      </c>
      <c r="J93" s="15">
        <f>C82-I93</f>
      </c>
      <c r="K93" s="16">
        <f>IF(ABS(J93)&lt;0.01,"MATCH","MISMATCH")</f>
      </c>
    </row>
    <row r="94" ht="5" customHeight="1" spans="1:11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</row>
    <row r="95" ht="18" customHeight="1" spans="1:11" x14ac:dyDescent="0.25">
      <c r="A95" s="4" t="s">
        <v>151</v>
      </c>
      <c r="B95" s="5" t="s">
        <v>152</v>
      </c>
      <c r="C95" s="6">
        <v>1312500</v>
      </c>
      <c r="D95" s="7" t="s">
        <v>15</v>
      </c>
      <c r="E95" s="8" t="s">
        <v>16</v>
      </c>
      <c r="F95" s="9">
        <v>1</v>
      </c>
      <c r="G95" s="10">
        <v>433000</v>
      </c>
      <c r="H95" s="10">
        <f>F95*G95</f>
      </c>
      <c r="I95" s="11"/>
      <c r="J95" s="11"/>
      <c r="K95" s="11"/>
    </row>
    <row r="96" ht="18" customHeight="1" spans="1:11" x14ac:dyDescent="0.25">
      <c r="A96" s="4"/>
      <c r="B96" s="5"/>
      <c r="C96" s="6"/>
      <c r="D96" s="7" t="s">
        <v>65</v>
      </c>
      <c r="E96" s="8" t="s">
        <v>66</v>
      </c>
      <c r="F96" s="9">
        <v>1</v>
      </c>
      <c r="G96" s="10">
        <v>418500</v>
      </c>
      <c r="H96" s="10">
        <f>F96*G96</f>
      </c>
      <c r="I96" s="11"/>
      <c r="J96" s="11"/>
      <c r="K96" s="11"/>
    </row>
    <row r="97" ht="18" customHeight="1" spans="1:11" x14ac:dyDescent="0.25">
      <c r="A97" s="4"/>
      <c r="B97" s="5"/>
      <c r="C97" s="6"/>
      <c r="D97" s="7" t="s">
        <v>19</v>
      </c>
      <c r="E97" s="8" t="s">
        <v>20</v>
      </c>
      <c r="F97" s="9">
        <v>1</v>
      </c>
      <c r="G97" s="10">
        <v>47000</v>
      </c>
      <c r="H97" s="10">
        <f>F97*G97</f>
      </c>
      <c r="I97" s="11"/>
      <c r="J97" s="11"/>
      <c r="K97" s="11"/>
    </row>
    <row r="98" ht="18" customHeight="1" spans="1:11" x14ac:dyDescent="0.25">
      <c r="A98" s="4"/>
      <c r="B98" s="5"/>
      <c r="C98" s="6"/>
      <c r="D98" s="7" t="s">
        <v>21</v>
      </c>
      <c r="E98" s="8" t="s">
        <v>22</v>
      </c>
      <c r="F98" s="9">
        <v>1</v>
      </c>
      <c r="G98" s="10">
        <v>41000</v>
      </c>
      <c r="H98" s="10">
        <f>F98*G98</f>
      </c>
      <c r="I98" s="11"/>
      <c r="J98" s="11"/>
      <c r="K98" s="11"/>
    </row>
    <row r="99" ht="18" customHeight="1" spans="1:11" x14ac:dyDescent="0.25">
      <c r="A99" s="4"/>
      <c r="B99" s="5"/>
      <c r="C99" s="6"/>
      <c r="D99" s="7" t="s">
        <v>71</v>
      </c>
      <c r="E99" s="8" t="s">
        <v>72</v>
      </c>
      <c r="F99" s="9">
        <v>1</v>
      </c>
      <c r="G99" s="10">
        <v>25500</v>
      </c>
      <c r="H99" s="10">
        <f>F99*G99</f>
      </c>
      <c r="I99" s="11"/>
      <c r="J99" s="11"/>
      <c r="K99" s="11"/>
    </row>
    <row r="100" ht="18" customHeight="1" spans="1:11" x14ac:dyDescent="0.25">
      <c r="A100" s="4"/>
      <c r="B100" s="5"/>
      <c r="C100" s="6"/>
      <c r="D100" s="7" t="s">
        <v>25</v>
      </c>
      <c r="E100" s="8" t="s">
        <v>26</v>
      </c>
      <c r="F100" s="9">
        <v>1</v>
      </c>
      <c r="G100" s="10">
        <v>65000</v>
      </c>
      <c r="H100" s="10">
        <f>F100*G100</f>
      </c>
      <c r="I100" s="11"/>
      <c r="J100" s="11"/>
      <c r="K100" s="11"/>
    </row>
    <row r="101" ht="18" customHeight="1" spans="1:11" x14ac:dyDescent="0.25">
      <c r="A101" s="4"/>
      <c r="B101" s="5"/>
      <c r="C101" s="6"/>
      <c r="D101" s="7" t="s">
        <v>75</v>
      </c>
      <c r="E101" s="8" t="s">
        <v>76</v>
      </c>
      <c r="F101" s="9">
        <v>1</v>
      </c>
      <c r="G101" s="10">
        <v>65000</v>
      </c>
      <c r="H101" s="10">
        <f>F101*G101</f>
      </c>
      <c r="I101" s="11"/>
      <c r="J101" s="11"/>
      <c r="K101" s="11"/>
    </row>
    <row r="102" ht="18" customHeight="1" spans="1:11" x14ac:dyDescent="0.25">
      <c r="A102" s="4"/>
      <c r="B102" s="5"/>
      <c r="C102" s="6"/>
      <c r="D102" s="7" t="s">
        <v>77</v>
      </c>
      <c r="E102" s="8" t="s">
        <v>78</v>
      </c>
      <c r="F102" s="9">
        <v>1</v>
      </c>
      <c r="G102" s="10">
        <v>65000</v>
      </c>
      <c r="H102" s="10">
        <f>F102*G102</f>
      </c>
      <c r="I102" s="11"/>
      <c r="J102" s="11"/>
      <c r="K102" s="11"/>
    </row>
    <row r="103" ht="18" customHeight="1" spans="1:11" x14ac:dyDescent="0.25">
      <c r="A103" s="4"/>
      <c r="B103" s="5"/>
      <c r="C103" s="6"/>
      <c r="D103" s="7" t="s">
        <v>31</v>
      </c>
      <c r="E103" s="8" t="s">
        <v>32</v>
      </c>
      <c r="F103" s="9">
        <v>1</v>
      </c>
      <c r="G103" s="10">
        <v>65000</v>
      </c>
      <c r="H103" s="10">
        <f>F103*G103</f>
      </c>
      <c r="I103" s="11"/>
      <c r="J103" s="11"/>
      <c r="K103" s="11"/>
    </row>
    <row r="104" ht="18" customHeight="1" spans="1:11" x14ac:dyDescent="0.25">
      <c r="A104" s="4"/>
      <c r="B104" s="5"/>
      <c r="C104" s="6"/>
      <c r="D104" s="7" t="s">
        <v>33</v>
      </c>
      <c r="E104" s="8" t="s">
        <v>34</v>
      </c>
      <c r="F104" s="9">
        <v>1</v>
      </c>
      <c r="G104" s="10">
        <v>17000</v>
      </c>
      <c r="H104" s="10">
        <f>F104*G104</f>
      </c>
      <c r="I104" s="11"/>
      <c r="J104" s="11"/>
      <c r="K104" s="11"/>
    </row>
    <row r="105" ht="18" customHeight="1" spans="1:11" x14ac:dyDescent="0.25">
      <c r="A105" s="4"/>
      <c r="B105" s="5"/>
      <c r="C105" s="6"/>
      <c r="D105" s="7" t="s">
        <v>79</v>
      </c>
      <c r="E105" s="8" t="s">
        <v>80</v>
      </c>
      <c r="F105" s="9">
        <v>1</v>
      </c>
      <c r="G105" s="10">
        <v>35000</v>
      </c>
      <c r="H105" s="10">
        <f>F105*G105</f>
      </c>
      <c r="I105" s="11"/>
      <c r="J105" s="11"/>
      <c r="K105" s="11"/>
    </row>
    <row r="106" ht="18" customHeight="1" spans="1:11" x14ac:dyDescent="0.25">
      <c r="A106" s="4"/>
      <c r="B106" s="5"/>
      <c r="C106" s="6"/>
      <c r="D106" s="7" t="s">
        <v>81</v>
      </c>
      <c r="E106" s="8" t="s">
        <v>82</v>
      </c>
      <c r="F106" s="9">
        <v>1</v>
      </c>
      <c r="G106" s="10">
        <v>20000</v>
      </c>
      <c r="H106" s="10">
        <f>F106*G106</f>
      </c>
      <c r="I106" s="12">
        <f>SUM(H95:H106)</f>
      </c>
      <c r="J106" s="12">
        <f>C95-I106</f>
      </c>
      <c r="K106" s="13">
        <f>IF(ABS(J106)&lt;0.01,"MATCH","MISMATCH")</f>
      </c>
    </row>
    <row r="107" ht="5" customHeight="1" spans="1:11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</row>
    <row r="108" ht="18" customHeight="1" spans="1:11" x14ac:dyDescent="0.25">
      <c r="A108" s="4" t="s">
        <v>153</v>
      </c>
      <c r="B108" s="5" t="s">
        <v>154</v>
      </c>
      <c r="C108" s="6">
        <v>1669000</v>
      </c>
      <c r="D108" s="7" t="s">
        <v>41</v>
      </c>
      <c r="E108" s="8" t="s">
        <v>42</v>
      </c>
      <c r="F108" s="9">
        <v>1</v>
      </c>
      <c r="G108" s="10">
        <v>486500</v>
      </c>
      <c r="H108" s="10">
        <f>F108*G108</f>
      </c>
      <c r="I108" s="11"/>
      <c r="J108" s="11"/>
      <c r="K108" s="11"/>
    </row>
    <row r="109" ht="18" customHeight="1" spans="1:11" x14ac:dyDescent="0.25">
      <c r="A109" s="4"/>
      <c r="B109" s="5"/>
      <c r="C109" s="6"/>
      <c r="D109" s="7" t="s">
        <v>43</v>
      </c>
      <c r="E109" s="8" t="s">
        <v>44</v>
      </c>
      <c r="F109" s="9">
        <v>2</v>
      </c>
      <c r="G109" s="10">
        <v>360000</v>
      </c>
      <c r="H109" s="10">
        <f>F109*G109</f>
      </c>
      <c r="I109" s="11"/>
      <c r="J109" s="11"/>
      <c r="K109" s="11"/>
    </row>
    <row r="110" ht="18" customHeight="1" spans="1:11" x14ac:dyDescent="0.25">
      <c r="A110" s="4"/>
      <c r="B110" s="5"/>
      <c r="C110" s="6"/>
      <c r="D110" s="7" t="s">
        <v>87</v>
      </c>
      <c r="E110" s="8" t="s">
        <v>88</v>
      </c>
      <c r="F110" s="9">
        <v>1</v>
      </c>
      <c r="G110" s="10">
        <v>47000</v>
      </c>
      <c r="H110" s="10">
        <f>F110*G110</f>
      </c>
      <c r="I110" s="11"/>
      <c r="J110" s="11"/>
      <c r="K110" s="11"/>
    </row>
    <row r="111" ht="18" customHeight="1" spans="1:11" x14ac:dyDescent="0.25">
      <c r="A111" s="4"/>
      <c r="B111" s="5"/>
      <c r="C111" s="6"/>
      <c r="D111" s="7" t="s">
        <v>47</v>
      </c>
      <c r="E111" s="8" t="s">
        <v>48</v>
      </c>
      <c r="F111" s="9">
        <v>1</v>
      </c>
      <c r="G111" s="10">
        <v>41000</v>
      </c>
      <c r="H111" s="10">
        <f>F111*G111</f>
      </c>
      <c r="I111" s="11"/>
      <c r="J111" s="11"/>
      <c r="K111" s="11"/>
    </row>
    <row r="112" ht="18" customHeight="1" spans="1:11" x14ac:dyDescent="0.25">
      <c r="A112" s="4"/>
      <c r="B112" s="5"/>
      <c r="C112" s="6"/>
      <c r="D112" s="7" t="s">
        <v>91</v>
      </c>
      <c r="E112" s="8" t="s">
        <v>92</v>
      </c>
      <c r="F112" s="9">
        <v>1</v>
      </c>
      <c r="G112" s="10">
        <v>32500</v>
      </c>
      <c r="H112" s="10">
        <f>F112*G112</f>
      </c>
      <c r="I112" s="11"/>
      <c r="J112" s="11"/>
      <c r="K112" s="11"/>
    </row>
    <row r="113" ht="18" customHeight="1" spans="1:11" x14ac:dyDescent="0.25">
      <c r="A113" s="4"/>
      <c r="B113" s="5"/>
      <c r="C113" s="6"/>
      <c r="D113" s="7" t="s">
        <v>93</v>
      </c>
      <c r="E113" s="8" t="s">
        <v>94</v>
      </c>
      <c r="F113" s="9">
        <v>1</v>
      </c>
      <c r="G113" s="10">
        <v>65000</v>
      </c>
      <c r="H113" s="10">
        <f>F113*G113</f>
      </c>
      <c r="I113" s="11"/>
      <c r="J113" s="11"/>
      <c r="K113" s="11"/>
    </row>
    <row r="114" ht="18" customHeight="1" spans="1:11" x14ac:dyDescent="0.25">
      <c r="A114" s="4"/>
      <c r="B114" s="5"/>
      <c r="C114" s="6"/>
      <c r="D114" s="7" t="s">
        <v>95</v>
      </c>
      <c r="E114" s="8" t="s">
        <v>96</v>
      </c>
      <c r="F114" s="9">
        <v>1</v>
      </c>
      <c r="G114" s="10">
        <v>65000</v>
      </c>
      <c r="H114" s="10">
        <f>F114*G114</f>
      </c>
      <c r="I114" s="11"/>
      <c r="J114" s="11"/>
      <c r="K114" s="11"/>
    </row>
    <row r="115" ht="18" customHeight="1" spans="1:11" x14ac:dyDescent="0.25">
      <c r="A115" s="4"/>
      <c r="B115" s="5"/>
      <c r="C115" s="6"/>
      <c r="D115" s="7" t="s">
        <v>97</v>
      </c>
      <c r="E115" s="8" t="s">
        <v>98</v>
      </c>
      <c r="F115" s="9">
        <v>1</v>
      </c>
      <c r="G115" s="10">
        <v>65000</v>
      </c>
      <c r="H115" s="10">
        <f>F115*G115</f>
      </c>
      <c r="I115" s="11"/>
      <c r="J115" s="11"/>
      <c r="K115" s="11"/>
    </row>
    <row r="116" ht="18" customHeight="1" spans="1:11" x14ac:dyDescent="0.25">
      <c r="A116" s="4"/>
      <c r="B116" s="5"/>
      <c r="C116" s="6"/>
      <c r="D116" s="7" t="s">
        <v>99</v>
      </c>
      <c r="E116" s="8" t="s">
        <v>100</v>
      </c>
      <c r="F116" s="9">
        <v>1</v>
      </c>
      <c r="G116" s="10">
        <v>65000</v>
      </c>
      <c r="H116" s="10">
        <f>F116*G116</f>
      </c>
      <c r="I116" s="11"/>
      <c r="J116" s="11"/>
      <c r="K116" s="11"/>
    </row>
    <row r="117" ht="18" customHeight="1" spans="1:11" x14ac:dyDescent="0.25">
      <c r="A117" s="4"/>
      <c r="B117" s="5"/>
      <c r="C117" s="6"/>
      <c r="D117" s="7" t="s">
        <v>33</v>
      </c>
      <c r="E117" s="8" t="s">
        <v>34</v>
      </c>
      <c r="F117" s="9">
        <v>1</v>
      </c>
      <c r="G117" s="10">
        <v>17000</v>
      </c>
      <c r="H117" s="10">
        <f>F117*G117</f>
      </c>
      <c r="I117" s="11"/>
      <c r="J117" s="11"/>
      <c r="K117" s="11"/>
    </row>
    <row r="118" ht="18" customHeight="1" spans="1:11" x14ac:dyDescent="0.25">
      <c r="A118" s="4"/>
      <c r="B118" s="5"/>
      <c r="C118" s="6"/>
      <c r="D118" s="7" t="s">
        <v>101</v>
      </c>
      <c r="E118" s="8" t="s">
        <v>102</v>
      </c>
      <c r="F118" s="9">
        <v>1</v>
      </c>
      <c r="G118" s="10">
        <v>40000</v>
      </c>
      <c r="H118" s="10">
        <f>F118*G118</f>
      </c>
      <c r="I118" s="11"/>
      <c r="J118" s="11"/>
      <c r="K118" s="11"/>
    </row>
    <row r="119" ht="18" customHeight="1" spans="1:11" x14ac:dyDescent="0.25">
      <c r="A119" s="4"/>
      <c r="B119" s="5"/>
      <c r="C119" s="6"/>
      <c r="D119" s="7" t="s">
        <v>103</v>
      </c>
      <c r="E119" s="8" t="s">
        <v>104</v>
      </c>
      <c r="F119" s="9">
        <v>1</v>
      </c>
      <c r="G119" s="10">
        <v>25000</v>
      </c>
      <c r="H119" s="10">
        <f>F119*G119</f>
      </c>
      <c r="I119" s="15">
        <f>SUM(H108:H119)</f>
      </c>
      <c r="J119" s="15">
        <f>C108-I119</f>
      </c>
      <c r="K119" s="16">
        <f>IF(ABS(J119)&lt;0.01,"MATCH","MISMATCH")</f>
      </c>
    </row>
    <row r="120" ht="5" customHeight="1" spans="1:11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</row>
    <row r="121" ht="18" customHeight="1" spans="1:11" x14ac:dyDescent="0.25">
      <c r="A121" s="4" t="s">
        <v>155</v>
      </c>
      <c r="B121" s="5" t="s">
        <v>156</v>
      </c>
      <c r="C121" s="6">
        <v>3085500</v>
      </c>
      <c r="D121" s="7" t="s">
        <v>157</v>
      </c>
      <c r="E121" s="8" t="s">
        <v>158</v>
      </c>
      <c r="F121" s="9">
        <v>1</v>
      </c>
      <c r="G121" s="10">
        <v>647000</v>
      </c>
      <c r="H121" s="10">
        <f>F121*G121</f>
      </c>
      <c r="I121" s="11"/>
      <c r="J121" s="11"/>
      <c r="K121" s="11"/>
    </row>
    <row r="122" ht="18" customHeight="1" spans="1:11" x14ac:dyDescent="0.25">
      <c r="A122" s="4"/>
      <c r="B122" s="5"/>
      <c r="C122" s="6"/>
      <c r="D122" s="7" t="s">
        <v>43</v>
      </c>
      <c r="E122" s="8" t="s">
        <v>44</v>
      </c>
      <c r="F122" s="9">
        <v>3</v>
      </c>
      <c r="G122" s="10">
        <v>360000</v>
      </c>
      <c r="H122" s="10">
        <f>F122*G122</f>
      </c>
      <c r="I122" s="11"/>
      <c r="J122" s="11"/>
      <c r="K122" s="11"/>
    </row>
    <row r="123" ht="18" customHeight="1" spans="1:11" x14ac:dyDescent="0.25">
      <c r="A123" s="4"/>
      <c r="B123" s="5"/>
      <c r="C123" s="6"/>
      <c r="D123" s="7" t="s">
        <v>159</v>
      </c>
      <c r="E123" s="8" t="s">
        <v>160</v>
      </c>
      <c r="F123" s="9">
        <v>1</v>
      </c>
      <c r="G123" s="10">
        <v>59500</v>
      </c>
      <c r="H123" s="10">
        <f>F123*G123</f>
      </c>
      <c r="I123" s="11"/>
      <c r="J123" s="11"/>
      <c r="K123" s="11"/>
    </row>
    <row r="124" ht="18" customHeight="1" spans="1:11" x14ac:dyDescent="0.25">
      <c r="A124" s="4"/>
      <c r="B124" s="5"/>
      <c r="C124" s="6"/>
      <c r="D124" s="7" t="s">
        <v>161</v>
      </c>
      <c r="E124" s="8" t="s">
        <v>162</v>
      </c>
      <c r="F124" s="9">
        <v>1</v>
      </c>
      <c r="G124" s="10">
        <v>50000</v>
      </c>
      <c r="H124" s="10">
        <f>F124*G124</f>
      </c>
      <c r="I124" s="11"/>
      <c r="J124" s="11"/>
      <c r="K124" s="11"/>
    </row>
    <row r="125" ht="18" customHeight="1" spans="1:11" x14ac:dyDescent="0.25">
      <c r="A125" s="4"/>
      <c r="B125" s="5"/>
      <c r="C125" s="6"/>
      <c r="D125" s="7" t="s">
        <v>163</v>
      </c>
      <c r="E125" s="8" t="s">
        <v>164</v>
      </c>
      <c r="F125" s="9">
        <v>1</v>
      </c>
      <c r="G125" s="10">
        <v>38500</v>
      </c>
      <c r="H125" s="10">
        <f>F125*G125</f>
      </c>
      <c r="I125" s="11"/>
      <c r="J125" s="11"/>
      <c r="K125" s="11"/>
    </row>
    <row r="126" ht="18" customHeight="1" spans="1:11" x14ac:dyDescent="0.25">
      <c r="A126" s="4"/>
      <c r="B126" s="5"/>
      <c r="C126" s="6"/>
      <c r="D126" s="7" t="s">
        <v>165</v>
      </c>
      <c r="E126" s="8" t="s">
        <v>166</v>
      </c>
      <c r="F126" s="9">
        <v>1</v>
      </c>
      <c r="G126" s="10">
        <v>115000</v>
      </c>
      <c r="H126" s="10">
        <f>F126*G126</f>
      </c>
      <c r="I126" s="11"/>
      <c r="J126" s="11"/>
      <c r="K126" s="11"/>
    </row>
    <row r="127" ht="18" customHeight="1" spans="1:11" x14ac:dyDescent="0.25">
      <c r="A127" s="4"/>
      <c r="B127" s="5"/>
      <c r="C127" s="6"/>
      <c r="D127" s="7" t="s">
        <v>167</v>
      </c>
      <c r="E127" s="8" t="s">
        <v>168</v>
      </c>
      <c r="F127" s="9">
        <v>1</v>
      </c>
      <c r="G127" s="10">
        <v>65000</v>
      </c>
      <c r="H127" s="10">
        <f>F127*G127</f>
      </c>
      <c r="I127" s="11"/>
      <c r="J127" s="11"/>
      <c r="K127" s="11"/>
    </row>
    <row r="128" ht="18" customHeight="1" spans="1:11" x14ac:dyDescent="0.25">
      <c r="A128" s="4"/>
      <c r="B128" s="5"/>
      <c r="C128" s="6"/>
      <c r="D128" s="7" t="s">
        <v>169</v>
      </c>
      <c r="E128" s="8" t="s">
        <v>170</v>
      </c>
      <c r="F128" s="9">
        <v>1</v>
      </c>
      <c r="G128" s="10">
        <v>65000</v>
      </c>
      <c r="H128" s="10">
        <f>F128*G128</f>
      </c>
      <c r="I128" s="11"/>
      <c r="J128" s="11"/>
      <c r="K128" s="11"/>
    </row>
    <row r="129" ht="18" customHeight="1" spans="1:11" x14ac:dyDescent="0.25">
      <c r="A129" s="4"/>
      <c r="B129" s="5"/>
      <c r="C129" s="6"/>
      <c r="D129" s="7" t="s">
        <v>133</v>
      </c>
      <c r="E129" s="8" t="s">
        <v>134</v>
      </c>
      <c r="F129" s="9">
        <v>2</v>
      </c>
      <c r="G129" s="10">
        <v>65000</v>
      </c>
      <c r="H129" s="10">
        <f>F129*G129</f>
      </c>
      <c r="I129" s="11"/>
      <c r="J129" s="11"/>
      <c r="K129" s="11"/>
    </row>
    <row r="130" ht="18" customHeight="1" spans="1:11" x14ac:dyDescent="0.25">
      <c r="A130" s="4"/>
      <c r="B130" s="5"/>
      <c r="C130" s="6"/>
      <c r="D130" s="7" t="s">
        <v>33</v>
      </c>
      <c r="E130" s="8" t="s">
        <v>34</v>
      </c>
      <c r="F130" s="9">
        <v>1</v>
      </c>
      <c r="G130" s="10">
        <v>17000</v>
      </c>
      <c r="H130" s="10">
        <f>F130*G130</f>
      </c>
      <c r="I130" s="11"/>
      <c r="J130" s="11"/>
      <c r="K130" s="11"/>
    </row>
    <row r="131" ht="18" customHeight="1" spans="1:11" x14ac:dyDescent="0.25">
      <c r="A131" s="4"/>
      <c r="B131" s="5"/>
      <c r="C131" s="6"/>
      <c r="D131" s="7" t="s">
        <v>171</v>
      </c>
      <c r="E131" s="8" t="s">
        <v>172</v>
      </c>
      <c r="F131" s="9">
        <v>1</v>
      </c>
      <c r="G131" s="10">
        <v>45000</v>
      </c>
      <c r="H131" s="10">
        <f>F131*G131</f>
      </c>
      <c r="I131" s="11"/>
      <c r="J131" s="11"/>
      <c r="K131" s="11"/>
    </row>
    <row r="132" ht="18" customHeight="1" spans="1:11" x14ac:dyDescent="0.25">
      <c r="A132" s="4"/>
      <c r="B132" s="5"/>
      <c r="C132" s="6"/>
      <c r="D132" s="7" t="s">
        <v>173</v>
      </c>
      <c r="E132" s="8" t="s">
        <v>174</v>
      </c>
      <c r="F132" s="9">
        <v>1</v>
      </c>
      <c r="G132" s="10">
        <v>25000</v>
      </c>
      <c r="H132" s="10">
        <f>F132*G132</f>
      </c>
      <c r="I132" s="12">
        <f>SUM(H121:H132)</f>
      </c>
      <c r="J132" s="12">
        <f>C121-I132</f>
      </c>
      <c r="K132" s="13">
        <f>IF(ABS(J132)&lt;0.01,"MATCH","MISMATCH")</f>
      </c>
    </row>
    <row r="133" ht="5" customHeight="1" spans="1:11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</row>
    <row r="134" ht="18" customHeight="1" spans="1:11" x14ac:dyDescent="0.25">
      <c r="A134" s="4" t="s">
        <v>175</v>
      </c>
      <c r="B134" s="5" t="s">
        <v>176</v>
      </c>
      <c r="C134" s="6">
        <v>3885500</v>
      </c>
      <c r="D134" s="7" t="s">
        <v>177</v>
      </c>
      <c r="E134" s="8" t="s">
        <v>178</v>
      </c>
      <c r="F134" s="9">
        <v>1</v>
      </c>
      <c r="G134" s="10">
        <v>700500</v>
      </c>
      <c r="H134" s="10">
        <f>F134*G134</f>
      </c>
      <c r="I134" s="11"/>
      <c r="J134" s="11"/>
      <c r="K134" s="11"/>
    </row>
    <row r="135" ht="18" customHeight="1" spans="1:11" x14ac:dyDescent="0.25">
      <c r="A135" s="4"/>
      <c r="B135" s="5"/>
      <c r="C135" s="6"/>
      <c r="D135" s="7" t="s">
        <v>43</v>
      </c>
      <c r="E135" s="8" t="s">
        <v>44</v>
      </c>
      <c r="F135" s="9">
        <v>1</v>
      </c>
      <c r="G135" s="10">
        <v>360000</v>
      </c>
      <c r="H135" s="10">
        <f>F135*G135</f>
      </c>
      <c r="I135" s="11"/>
      <c r="J135" s="11"/>
      <c r="K135" s="11"/>
    </row>
    <row r="136" ht="18" customHeight="1" spans="1:11" x14ac:dyDescent="0.25">
      <c r="A136" s="4"/>
      <c r="B136" s="5"/>
      <c r="C136" s="6"/>
      <c r="D136" s="7" t="s">
        <v>65</v>
      </c>
      <c r="E136" s="8" t="s">
        <v>66</v>
      </c>
      <c r="F136" s="9">
        <v>3</v>
      </c>
      <c r="G136" s="10">
        <v>418500</v>
      </c>
      <c r="H136" s="10">
        <f>F136*G136</f>
      </c>
      <c r="I136" s="11"/>
      <c r="J136" s="11"/>
      <c r="K136" s="11"/>
    </row>
    <row r="137" ht="18" customHeight="1" spans="1:11" x14ac:dyDescent="0.25">
      <c r="A137" s="4"/>
      <c r="B137" s="5"/>
      <c r="C137" s="6"/>
      <c r="D137" s="7" t="s">
        <v>121</v>
      </c>
      <c r="E137" s="8" t="s">
        <v>122</v>
      </c>
      <c r="F137" s="9">
        <v>1</v>
      </c>
      <c r="G137" s="10">
        <v>59500</v>
      </c>
      <c r="H137" s="10">
        <f>F137*G137</f>
      </c>
      <c r="I137" s="11"/>
      <c r="J137" s="11"/>
      <c r="K137" s="11"/>
    </row>
    <row r="138" ht="18" customHeight="1" spans="1:11" x14ac:dyDescent="0.25">
      <c r="A138" s="4"/>
      <c r="B138" s="5"/>
      <c r="C138" s="6"/>
      <c r="D138" s="7" t="s">
        <v>123</v>
      </c>
      <c r="E138" s="8" t="s">
        <v>124</v>
      </c>
      <c r="F138" s="9">
        <v>1</v>
      </c>
      <c r="G138" s="10">
        <v>50000</v>
      </c>
      <c r="H138" s="10">
        <f>F138*G138</f>
      </c>
      <c r="I138" s="11"/>
      <c r="J138" s="11"/>
      <c r="K138" s="11"/>
    </row>
    <row r="139" ht="18" customHeight="1" spans="1:11" x14ac:dyDescent="0.25">
      <c r="A139" s="4"/>
      <c r="B139" s="5"/>
      <c r="C139" s="6"/>
      <c r="D139" s="7" t="s">
        <v>179</v>
      </c>
      <c r="E139" s="8" t="s">
        <v>180</v>
      </c>
      <c r="F139" s="9">
        <v>1</v>
      </c>
      <c r="G139" s="10">
        <v>45500</v>
      </c>
      <c r="H139" s="10">
        <f>F139*G139</f>
      </c>
      <c r="I139" s="11"/>
      <c r="J139" s="11"/>
      <c r="K139" s="11"/>
    </row>
    <row r="140" ht="18" customHeight="1" spans="1:11" x14ac:dyDescent="0.25">
      <c r="A140" s="4"/>
      <c r="B140" s="5"/>
      <c r="C140" s="6"/>
      <c r="D140" s="7" t="s">
        <v>127</v>
      </c>
      <c r="E140" s="8" t="s">
        <v>128</v>
      </c>
      <c r="F140" s="9">
        <v>1</v>
      </c>
      <c r="G140" s="10">
        <v>65000</v>
      </c>
      <c r="H140" s="10">
        <f>F140*G140</f>
      </c>
      <c r="I140" s="11"/>
      <c r="J140" s="11"/>
      <c r="K140" s="11"/>
    </row>
    <row r="141" ht="18" customHeight="1" spans="1:11" x14ac:dyDescent="0.25">
      <c r="A141" s="4"/>
      <c r="B141" s="5"/>
      <c r="C141" s="6"/>
      <c r="D141" s="7" t="s">
        <v>181</v>
      </c>
      <c r="E141" s="8" t="s">
        <v>182</v>
      </c>
      <c r="F141" s="9">
        <v>1</v>
      </c>
      <c r="G141" s="10">
        <v>65000</v>
      </c>
      <c r="H141" s="10">
        <f>F141*G141</f>
      </c>
      <c r="I141" s="11"/>
      <c r="J141" s="11"/>
      <c r="K141" s="11"/>
    </row>
    <row r="142" ht="18" customHeight="1" spans="1:11" x14ac:dyDescent="0.25">
      <c r="A142" s="4"/>
      <c r="B142" s="5"/>
      <c r="C142" s="6"/>
      <c r="D142" s="7" t="s">
        <v>183</v>
      </c>
      <c r="E142" s="8" t="s">
        <v>184</v>
      </c>
      <c r="F142" s="9">
        <v>1</v>
      </c>
      <c r="G142" s="10">
        <v>65000</v>
      </c>
      <c r="H142" s="10">
        <f>F142*G142</f>
      </c>
      <c r="I142" s="11"/>
      <c r="J142" s="11"/>
      <c r="K142" s="11"/>
    </row>
    <row r="143" ht="18" customHeight="1" spans="1:11" x14ac:dyDescent="0.25">
      <c r="A143" s="4"/>
      <c r="B143" s="5"/>
      <c r="C143" s="6"/>
      <c r="D143" s="7" t="s">
        <v>133</v>
      </c>
      <c r="E143" s="8" t="s">
        <v>134</v>
      </c>
      <c r="F143" s="9">
        <v>2</v>
      </c>
      <c r="G143" s="10">
        <v>65000</v>
      </c>
      <c r="H143" s="10">
        <f>F143*G143</f>
      </c>
      <c r="I143" s="11"/>
      <c r="J143" s="11"/>
      <c r="K143" s="11"/>
    </row>
    <row r="144" ht="18" customHeight="1" spans="1:11" x14ac:dyDescent="0.25">
      <c r="A144" s="4"/>
      <c r="B144" s="5"/>
      <c r="C144" s="6"/>
      <c r="D144" s="7" t="s">
        <v>185</v>
      </c>
      <c r="E144" s="8" t="s">
        <v>186</v>
      </c>
      <c r="F144" s="9">
        <v>1</v>
      </c>
      <c r="G144" s="10">
        <v>60000</v>
      </c>
      <c r="H144" s="10">
        <f>F144*G144</f>
      </c>
      <c r="I144" s="11"/>
      <c r="J144" s="11"/>
      <c r="K144" s="11"/>
    </row>
    <row r="145" ht="18" customHeight="1" spans="1:11" x14ac:dyDescent="0.25">
      <c r="A145" s="4"/>
      <c r="B145" s="5"/>
      <c r="C145" s="6"/>
      <c r="D145" s="7" t="s">
        <v>187</v>
      </c>
      <c r="E145" s="8" t="s">
        <v>188</v>
      </c>
      <c r="F145" s="9">
        <v>1</v>
      </c>
      <c r="G145" s="10">
        <v>30000</v>
      </c>
      <c r="H145" s="10">
        <f>F145*G145</f>
      </c>
      <c r="I145" s="12">
        <f>SUM(H134:H145)</f>
      </c>
      <c r="J145" s="12">
        <f>C134-I145</f>
      </c>
      <c r="K145" s="13">
        <f>IF(ABS(J145)&lt;0.01,"MATCH","MISMATCH")</f>
      </c>
    </row>
    <row r="146" ht="5" customHeight="1" spans="1:11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</row>
  </sheetData>
  <autoFilter ref="A3:K3"/>
  <mergeCells count="35">
    <mergeCell ref="A1:K1"/>
    <mergeCell ref="A2:K2"/>
    <mergeCell ref="A4:A15"/>
    <mergeCell ref="B4:B15"/>
    <mergeCell ref="C4:C15"/>
    <mergeCell ref="A17:A28"/>
    <mergeCell ref="B17:B28"/>
    <mergeCell ref="C17:C28"/>
    <mergeCell ref="A30:A41"/>
    <mergeCell ref="B30:B41"/>
    <mergeCell ref="C30:C41"/>
    <mergeCell ref="A43:A54"/>
    <mergeCell ref="B43:B54"/>
    <mergeCell ref="C43:C54"/>
    <mergeCell ref="A56:A67"/>
    <mergeCell ref="B56:B67"/>
    <mergeCell ref="C56:C67"/>
    <mergeCell ref="A69:A80"/>
    <mergeCell ref="B69:B80"/>
    <mergeCell ref="C69:C80"/>
    <mergeCell ref="A82:A93"/>
    <mergeCell ref="B82:B93"/>
    <mergeCell ref="C82:C93"/>
    <mergeCell ref="A95:A106"/>
    <mergeCell ref="B95:B106"/>
    <mergeCell ref="C95:C106"/>
    <mergeCell ref="A108:A119"/>
    <mergeCell ref="B108:B119"/>
    <mergeCell ref="C108:C119"/>
    <mergeCell ref="A121:A132"/>
    <mergeCell ref="B121:B132"/>
    <mergeCell ref="C121:C132"/>
    <mergeCell ref="A134:A145"/>
    <mergeCell ref="B134:B145"/>
    <mergeCell ref="C134:C14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4" width="24" customWidth="1"/>
    <col min="5" max="5" width="22" customWidth="1"/>
    <col min="6" max="6" width="14" customWidth="1"/>
  </cols>
  <sheetData>
    <row r="1" ht="28" customHeight="1" spans="1:6" x14ac:dyDescent="0.25">
      <c r="A1" s="1" t="s">
        <v>189</v>
      </c>
      <c r="B1" s="1"/>
      <c r="C1" s="1"/>
      <c r="D1" s="1"/>
      <c r="E1" s="1"/>
      <c r="F1" s="1"/>
    </row>
    <row r="2" ht="16" customHeight="1" spans="1:6" x14ac:dyDescent="0.25">
      <c r="A2" s="2" t="s">
        <v>190</v>
      </c>
      <c r="B2" s="2"/>
      <c r="C2" s="2"/>
      <c r="D2" s="2"/>
      <c r="E2" s="2"/>
      <c r="F2" s="2"/>
    </row>
    <row r="3" ht="32" customHeight="1" spans="1:6" x14ac:dyDescent="0.25">
      <c r="A3" s="3" t="s">
        <v>2</v>
      </c>
      <c r="B3" s="3" t="s">
        <v>191</v>
      </c>
      <c r="C3" s="3" t="s">
        <v>4</v>
      </c>
      <c r="D3" s="3" t="s">
        <v>10</v>
      </c>
      <c r="E3" s="3" t="s">
        <v>11</v>
      </c>
      <c r="F3" s="3" t="s">
        <v>12</v>
      </c>
    </row>
    <row r="4" ht="18" customHeight="1" spans="1:6" x14ac:dyDescent="0.25">
      <c r="A4" s="17" t="s">
        <v>13</v>
      </c>
      <c r="B4" s="18">
        <v>12</v>
      </c>
      <c r="C4" s="19">
        <v>1127500</v>
      </c>
      <c r="D4" s="19">
        <v>1095000</v>
      </c>
      <c r="E4" s="19">
        <v>32500</v>
      </c>
      <c r="F4" s="20" t="s">
        <v>192</v>
      </c>
    </row>
    <row r="5" ht="18" customHeight="1" spans="1:6" x14ac:dyDescent="0.25">
      <c r="A5" s="17" t="s">
        <v>39</v>
      </c>
      <c r="B5" s="18">
        <v>12</v>
      </c>
      <c r="C5" s="19">
        <v>1691000</v>
      </c>
      <c r="D5" s="19">
        <v>1295500</v>
      </c>
      <c r="E5" s="19">
        <v>395500</v>
      </c>
      <c r="F5" s="20" t="s">
        <v>192</v>
      </c>
    </row>
    <row r="6" ht="18" customHeight="1" spans="1:6" x14ac:dyDescent="0.25">
      <c r="A6" s="17" t="s">
        <v>61</v>
      </c>
      <c r="B6" s="18">
        <v>12</v>
      </c>
      <c r="C6" s="19">
        <v>1682500</v>
      </c>
      <c r="D6" s="19">
        <v>1374000</v>
      </c>
      <c r="E6" s="19">
        <v>308500</v>
      </c>
      <c r="F6" s="20" t="s">
        <v>192</v>
      </c>
    </row>
    <row r="7" ht="18" customHeight="1" spans="1:6" x14ac:dyDescent="0.25">
      <c r="A7" s="17" t="s">
        <v>83</v>
      </c>
      <c r="B7" s="18">
        <v>12</v>
      </c>
      <c r="C7" s="19">
        <v>2304500</v>
      </c>
      <c r="D7" s="19">
        <v>1776000</v>
      </c>
      <c r="E7" s="19">
        <v>528500</v>
      </c>
      <c r="F7" s="20" t="s">
        <v>192</v>
      </c>
    </row>
    <row r="8" ht="18" customHeight="1" spans="1:6" x14ac:dyDescent="0.25">
      <c r="A8" s="21" t="s">
        <v>105</v>
      </c>
      <c r="B8" s="22">
        <v>12</v>
      </c>
      <c r="C8" s="23">
        <v>912500</v>
      </c>
      <c r="D8" s="23">
        <v>912500</v>
      </c>
      <c r="E8" s="23">
        <v>0</v>
      </c>
      <c r="F8" s="24" t="s">
        <v>193</v>
      </c>
    </row>
    <row r="9" ht="18" customHeight="1" spans="1:6" x14ac:dyDescent="0.25">
      <c r="A9" s="17" t="s">
        <v>117</v>
      </c>
      <c r="B9" s="18">
        <v>12</v>
      </c>
      <c r="C9" s="19">
        <v>3803500</v>
      </c>
      <c r="D9" s="19">
        <v>2907000</v>
      </c>
      <c r="E9" s="19">
        <v>896500</v>
      </c>
      <c r="F9" s="20" t="s">
        <v>192</v>
      </c>
    </row>
    <row r="10" ht="18" customHeight="1" spans="1:6" x14ac:dyDescent="0.25">
      <c r="A10" s="21" t="s">
        <v>141</v>
      </c>
      <c r="B10" s="22">
        <v>12</v>
      </c>
      <c r="C10" s="23">
        <v>890000</v>
      </c>
      <c r="D10" s="23">
        <v>890000</v>
      </c>
      <c r="E10" s="23">
        <v>0</v>
      </c>
      <c r="F10" s="24" t="s">
        <v>193</v>
      </c>
    </row>
    <row r="11" ht="18" customHeight="1" spans="1:6" x14ac:dyDescent="0.25">
      <c r="A11" s="17" t="s">
        <v>151</v>
      </c>
      <c r="B11" s="18">
        <v>12</v>
      </c>
      <c r="C11" s="19">
        <v>1312500</v>
      </c>
      <c r="D11" s="19">
        <v>1297000</v>
      </c>
      <c r="E11" s="19">
        <v>15500</v>
      </c>
      <c r="F11" s="20" t="s">
        <v>192</v>
      </c>
    </row>
    <row r="12" ht="18" customHeight="1" spans="1:6" x14ac:dyDescent="0.25">
      <c r="A12" s="21" t="s">
        <v>153</v>
      </c>
      <c r="B12" s="22">
        <v>12</v>
      </c>
      <c r="C12" s="23">
        <v>1669000</v>
      </c>
      <c r="D12" s="23">
        <v>1669000</v>
      </c>
      <c r="E12" s="23">
        <v>0</v>
      </c>
      <c r="F12" s="24" t="s">
        <v>193</v>
      </c>
    </row>
    <row r="13" ht="18" customHeight="1" spans="1:6" x14ac:dyDescent="0.25">
      <c r="A13" s="17" t="s">
        <v>155</v>
      </c>
      <c r="B13" s="18">
        <v>12</v>
      </c>
      <c r="C13" s="19">
        <v>3085500</v>
      </c>
      <c r="D13" s="19">
        <v>2337000</v>
      </c>
      <c r="E13" s="19">
        <v>748500</v>
      </c>
      <c r="F13" s="20" t="s">
        <v>192</v>
      </c>
    </row>
    <row r="14" ht="18" customHeight="1" spans="1:6" x14ac:dyDescent="0.25">
      <c r="A14" s="17" t="s">
        <v>175</v>
      </c>
      <c r="B14" s="18">
        <v>12</v>
      </c>
      <c r="C14" s="19">
        <v>3885500</v>
      </c>
      <c r="D14" s="19">
        <v>2886000</v>
      </c>
      <c r="E14" s="19">
        <v>999500</v>
      </c>
      <c r="F14" s="20" t="s">
        <v>192</v>
      </c>
    </row>
    <row r="16" ht="22" customHeight="1" spans="1:6" x14ac:dyDescent="0.25">
      <c r="A16" s="25" t="s">
        <v>194</v>
      </c>
      <c r="B16" s="26">
        <v>132</v>
      </c>
      <c r="C16" s="27">
        <f>SUM(C4:C14)</f>
      </c>
      <c r="D16" s="27">
        <f>SUM(D4:D14)</f>
      </c>
      <c r="E16" s="27">
        <f>SUM(E4:E14)</f>
      </c>
      <c r="F16" s="25" t="s">
        <v>195</v>
      </c>
    </row>
  </sheetData>
  <autoFilter ref="A3:F3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 Detail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THERMOPAC QMS</dc:creator>
  <dc:title/>
  <dc:subject/>
  <dc:description/>
  <cp:keywords/>
  <cp:category/>
  <cp:lastModifiedBy>Unknown</cp:lastModifiedBy>
  <dcterms:created xsi:type="dcterms:W3CDTF">2026-05-09T14:45:20Z</dcterms:created>
  <dcterms:modified xsi:type="dcterms:W3CDTF">2026-05-09T14:45:20Z</dcterms:modified>
</cp:coreProperties>
</file>